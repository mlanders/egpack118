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ut Accounts" sheetId="1" r:id="rId4"/>
    <sheet state="visible" name="Ledger" sheetId="2" r:id="rId5"/>
    <sheet state="visible" name="Pack Finances" sheetId="3" r:id="rId6"/>
    <sheet state="visible" name="Instructions" sheetId="4" r:id="rId7"/>
  </sheets>
  <definedNames/>
  <calcPr/>
  <extLst>
    <ext uri="GoogleSheetsCustomDataVersion2">
      <go:sheetsCustomData xmlns:go="http://customooxmlschemas.google.com/" r:id="rId8" roundtripDataChecksum="KPvNN73aXvT6rDGbfs5r7UhrRObD94uyZvTeVY52rLQ="/>
    </ext>
  </extLst>
</workbook>
</file>

<file path=xl/sharedStrings.xml><?xml version="1.0" encoding="utf-8"?>
<sst xmlns="http://schemas.openxmlformats.org/spreadsheetml/2006/main" count="292" uniqueCount="234">
  <si>
    <t>CUB SCOUT PACK FINANCIAL TRACKER - SCOUT ACCOUNTS SUMMARY</t>
  </si>
  <si>
    <t>This sheet shows current balances. Use the "Transaction Ledger" sheet to record all deposits and withdrawals.</t>
  </si>
  <si>
    <t>INDIVIDUAL SCOUT ACCOUNT BALANCES</t>
  </si>
  <si>
    <t>Scout Name</t>
  </si>
  <si>
    <t>Beginning Balance</t>
  </si>
  <si>
    <t>Total Deposits</t>
  </si>
  <si>
    <t>Total Withdrawals</t>
  </si>
  <si>
    <t>Current Balance</t>
  </si>
  <si>
    <t>Pack Dues Paid?</t>
  </si>
  <si>
    <t>Payment Method</t>
  </si>
  <si>
    <t>Notes</t>
  </si>
  <si>
    <t>Scout 1</t>
  </si>
  <si>
    <t>Scout 2</t>
  </si>
  <si>
    <t>Scout 3</t>
  </si>
  <si>
    <t>Scout 4</t>
  </si>
  <si>
    <t>Scout 5</t>
  </si>
  <si>
    <t>Scout 6</t>
  </si>
  <si>
    <t>Scout 7</t>
  </si>
  <si>
    <t>Scout 8</t>
  </si>
  <si>
    <t>Scout 9</t>
  </si>
  <si>
    <t>Scout 10</t>
  </si>
  <si>
    <t>Scout 11</t>
  </si>
  <si>
    <t>Scout 12</t>
  </si>
  <si>
    <t>Scout 13</t>
  </si>
  <si>
    <t>Scout 14</t>
  </si>
  <si>
    <t>Scout 15</t>
  </si>
  <si>
    <t>Scout 16</t>
  </si>
  <si>
    <t>Scout 17</t>
  </si>
  <si>
    <t>Scout 18</t>
  </si>
  <si>
    <t>Scout 19</t>
  </si>
  <si>
    <t>Scout 20</t>
  </si>
  <si>
    <t>Scout 21</t>
  </si>
  <si>
    <t>Scout 22</t>
  </si>
  <si>
    <t>Scout 23</t>
  </si>
  <si>
    <t>Scout 24</t>
  </si>
  <si>
    <t>Scout 25</t>
  </si>
  <si>
    <t>Scout 26</t>
  </si>
  <si>
    <t>Scout 27</t>
  </si>
  <si>
    <t>Scout 28</t>
  </si>
  <si>
    <t>Scout 29</t>
  </si>
  <si>
    <t>Scout 30</t>
  </si>
  <si>
    <t>Scout 31</t>
  </si>
  <si>
    <t>Scout 32</t>
  </si>
  <si>
    <t>Scout 33</t>
  </si>
  <si>
    <t>Scout 34</t>
  </si>
  <si>
    <t>Scout 35</t>
  </si>
  <si>
    <t>Scout 36</t>
  </si>
  <si>
    <t>Scout 37</t>
  </si>
  <si>
    <t>Scout 38</t>
  </si>
  <si>
    <t>Scout 39</t>
  </si>
  <si>
    <t>Scout 40</t>
  </si>
  <si>
    <t>TOTALS</t>
  </si>
  <si>
    <t>PAYMENT SUMMARY</t>
  </si>
  <si>
    <t>Scouts Paid via Account</t>
  </si>
  <si>
    <t>Scouts Paid via Cash</t>
  </si>
  <si>
    <t>Still Need to Pay</t>
  </si>
  <si>
    <t>TRANSACTION LEDGER - ALL SCOUT ACCOUNT ACTIVITY</t>
  </si>
  <si>
    <t>Record ALL transactions here. Scout account balances update automatically.</t>
  </si>
  <si>
    <t>Date</t>
  </si>
  <si>
    <t>Description</t>
  </si>
  <si>
    <t>Type</t>
  </si>
  <si>
    <t>Amount</t>
  </si>
  <si>
    <t>Pack Gets (25%)</t>
  </si>
  <si>
    <t>1/1/2025</t>
  </si>
  <si>
    <t>Popcorn Sales</t>
  </si>
  <si>
    <t>Deposit</t>
  </si>
  <si>
    <t>Fall fundraiser</t>
  </si>
  <si>
    <t>Pack Dues</t>
  </si>
  <si>
    <t>Pack Dues Paid</t>
  </si>
  <si>
    <t>Family paid cash up front</t>
  </si>
  <si>
    <t>1/15/2025</t>
  </si>
  <si>
    <t>Wreath Sales</t>
  </si>
  <si>
    <t>Winter fundraiser</t>
  </si>
  <si>
    <t>1/20/2025</t>
  </si>
  <si>
    <t>Pack Dues Reimbursement</t>
  </si>
  <si>
    <t>Reimbursement</t>
  </si>
  <si>
    <t>Reimburse family for cash payment</t>
  </si>
  <si>
    <t>2/1/2025</t>
  </si>
  <si>
    <t>Camp Fee</t>
  </si>
  <si>
    <t>Withdrawal</t>
  </si>
  <si>
    <t>Family Campout registration</t>
  </si>
  <si>
    <t>2/10/2025</t>
  </si>
  <si>
    <t>Car Wash</t>
  </si>
  <si>
    <t>Den fundraiser</t>
  </si>
  <si>
    <t>Add new transactions below...</t>
  </si>
  <si>
    <t>LEDGER SUMMARY</t>
  </si>
  <si>
    <t>Total Fundraising Deposits</t>
  </si>
  <si>
    <t>Total Reimbursements to Scouts</t>
  </si>
  <si>
    <t>Pack Share from Fundraising (25%)</t>
  </si>
  <si>
    <t>PACK GENERAL FUND LEDGER</t>
  </si>
  <si>
    <t>Track all pack-level income and expenses here</t>
  </si>
  <si>
    <t>PACK FUND SUMMARY</t>
  </si>
  <si>
    <t>Pack Dues from Scout Accounts</t>
  </si>
  <si>
    <t>Scouts who paid from their account</t>
  </si>
  <si>
    <t>Pack Dues from Family Cash</t>
  </si>
  <si>
    <t>Families who paid cash up front</t>
  </si>
  <si>
    <t>Total Pack Dues Collected</t>
  </si>
  <si>
    <t>Fundraising Share (25%)</t>
  </si>
  <si>
    <t>Other Pack Income</t>
  </si>
  <si>
    <t>TOTAL PACK REVENUE</t>
  </si>
  <si>
    <t>Total Pack Expenses</t>
  </si>
  <si>
    <t>Reimbursements Paid to Scouts</t>
  </si>
  <si>
    <t>CURRENT PACK BALANCE</t>
  </si>
  <si>
    <t>PACK TRANSACTION LEDGER</t>
  </si>
  <si>
    <t>Category</t>
  </si>
  <si>
    <t>Adult Leader Registrations</t>
  </si>
  <si>
    <t>Expense</t>
  </si>
  <si>
    <t>Registration</t>
  </si>
  <si>
    <t>7 leaders @ $125</t>
  </si>
  <si>
    <t>Awards &amp; Patches Purchase</t>
  </si>
  <si>
    <t>Awards</t>
  </si>
  <si>
    <t>Belt loops and patches</t>
  </si>
  <si>
    <t>Blue &amp; Gold Banquet Supplies</t>
  </si>
  <si>
    <t>Events</t>
  </si>
  <si>
    <t>Decorations and awards</t>
  </si>
  <si>
    <t>Direct Donation from Local Business</t>
  </si>
  <si>
    <t>Income</t>
  </si>
  <si>
    <t>Donation</t>
  </si>
  <si>
    <t>Thanks to XYZ Corp</t>
  </si>
  <si>
    <t>2/15/2025</t>
  </si>
  <si>
    <t>Charter Renewal Fee</t>
  </si>
  <si>
    <t>Charter</t>
  </si>
  <si>
    <t>Annual recharter</t>
  </si>
  <si>
    <t>HOW TO USE THE LEDGER SYSTEM</t>
  </si>
  <si>
    <t>OVERVIEW:</t>
  </si>
  <si>
    <t>This workbook tracks both individual scout accounts and pack finances with flexible payment options.</t>
  </si>
  <si>
    <t>Scouts can pay pack dues from their account OR families can pay cash up front and be reimbursed later.</t>
  </si>
  <si>
    <t>━━━━━━━━━━━━━━━━━━━━━━━━━━━━━━━━━━━━━━━━━━━━━━━━━━━━━━━━━━━━━━━━━━</t>
  </si>
  <si>
    <t>TRANSACTION TYPES (Use in Ledger sheet, Column D):</t>
  </si>
  <si>
    <t>1. "Deposit" - Money INTO scout account from fundraising</t>
  </si>
  <si>
    <t xml:space="preserve">   → Scout gets 75%, Pack gets 25%</t>
  </si>
  <si>
    <t xml:space="preserve">   → Use for: Popcorn sales, wreath sales, car wash, any fundraiser</t>
  </si>
  <si>
    <t>2. "Withdrawal" - Money OUT of scout account</t>
  </si>
  <si>
    <t xml:space="preserve">   → Deducts from scout balance</t>
  </si>
  <si>
    <t xml:space="preserve">   → Use for: Pack dues (when paid from account), camp fees, uniform purchases, etc.</t>
  </si>
  <si>
    <t>3. "Pack Dues Paid" - Family paid cash directly to pack</t>
  </si>
  <si>
    <t xml:space="preserve">   → Does NOT affect scout account balance</t>
  </si>
  <si>
    <t xml:space="preserve">   → Records that dues are paid</t>
  </si>
  <si>
    <t xml:space="preserve">   → Use when: Family pays $100 cash at the start of year</t>
  </si>
  <si>
    <t>4. "Reimbursement" - Pack paying scout back for cash payment</t>
  </si>
  <si>
    <t xml:space="preserve">   → Adds money to scout account</t>
  </si>
  <si>
    <t xml:space="preserve">   → Pack pays the scout (treated like fundraising with 25% to pack)</t>
  </si>
  <si>
    <t xml:space="preserve">   → Use when: Scout raised enough to cover their dues, reimburse family</t>
  </si>
  <si>
    <t>COMMON SCENARIOS:</t>
  </si>
  <si>
    <t>SCENARIO 1: Scout pays dues from their account (after fundraising)</t>
  </si>
  <si>
    <t>Step 1 - Scout raises money:</t>
  </si>
  <si>
    <t xml:space="preserve">  Date: 1/15/2025</t>
  </si>
  <si>
    <t xml:space="preserve">  Scout Name: Scout 5</t>
  </si>
  <si>
    <t xml:space="preserve">  Description: Popcorn Sales</t>
  </si>
  <si>
    <t xml:space="preserve">  Type: Deposit</t>
  </si>
  <si>
    <t xml:space="preserve">  Amount: 200</t>
  </si>
  <si>
    <t xml:space="preserve">  Result: Scout account +$150 (75%), Pack +$50 (25%)</t>
  </si>
  <si>
    <t>Step 2 - Scout pays dues:</t>
  </si>
  <si>
    <t xml:space="preserve">  Date: 1/20/2025</t>
  </si>
  <si>
    <t xml:space="preserve">  Description: Pack Dues</t>
  </si>
  <si>
    <t xml:space="preserve">  Type: Withdrawal</t>
  </si>
  <si>
    <t xml:space="preserve">  Amount: 100</t>
  </si>
  <si>
    <t xml:space="preserve">  Result: Scout balance $50, Pack receives $100</t>
  </si>
  <si>
    <t>TOTAL TO PACK: $50 + $100 = $150</t>
  </si>
  <si>
    <t>SCOUT BALANCE: $50</t>
  </si>
  <si>
    <t>SCENARIO 2: Family pays cash up front, later gets reimbursed</t>
  </si>
  <si>
    <t>Step 1 - Family pays cash at start of year:</t>
  </si>
  <si>
    <t xml:space="preserve">  Date: 9/1/2024</t>
  </si>
  <si>
    <t xml:space="preserve">  Scout Name: Scout 10</t>
  </si>
  <si>
    <t xml:space="preserve">  Type: Pack Dues Paid</t>
  </si>
  <si>
    <t xml:space="preserve">  Result: Pack receives $100, Scout balance unchanged</t>
  </si>
  <si>
    <t>Step 2 - Scout does fundraising later:</t>
  </si>
  <si>
    <t xml:space="preserve">  Date: 11/15/2024</t>
  </si>
  <si>
    <t xml:space="preserve">  Result: Scout account +$150, Pack +$50</t>
  </si>
  <si>
    <t>Step 3 - Pack reimburses family:</t>
  </si>
  <si>
    <t xml:space="preserve">  Date: 12/1/2024</t>
  </si>
  <si>
    <t xml:space="preserve">  Description: Pack Dues Reimbursement</t>
  </si>
  <si>
    <t xml:space="preserve">  Type: Reimbursement</t>
  </si>
  <si>
    <t xml:space="preserve">  Result: Scout account +$75 (75% of $100), Pack gets +$25 (25%)</t>
  </si>
  <si>
    <t>FINAL RESULT:</t>
  </si>
  <si>
    <t xml:space="preserve">  Scout balance: $150 + $75 = $225</t>
  </si>
  <si>
    <t xml:space="preserve">  Pack total from Scout 10: $100 (initial) + $50 (fundraising) + $25 (reimbursement split) - $100 (paid back) = $75</t>
  </si>
  <si>
    <t xml:space="preserve">  Family: Got their $100 back</t>
  </si>
  <si>
    <t>WHY THIS WORKS:</t>
  </si>
  <si>
    <t>The family gets their money back, but the pack still gets the 25% fundraising share.</t>
  </si>
  <si>
    <t>The reimbursement is treated like fundraising income to the scout (they earned it!).</t>
  </si>
  <si>
    <t>SCENARIO 3: Family pays cash, scout doesn't fundraise enough to reimburse</t>
  </si>
  <si>
    <t>Step 1 - Family pays cash:</t>
  </si>
  <si>
    <t xml:space="preserve">  Scout Name: Scout 15</t>
  </si>
  <si>
    <t>Step 2 - Scout raises only a little:</t>
  </si>
  <si>
    <t xml:space="preserve">  Amount: 50</t>
  </si>
  <si>
    <t xml:space="preserve">  Result: Scout account $37.50, Pack gets $12.50</t>
  </si>
  <si>
    <t>Step 3 - Don't reimburse (scout didn't raise enough):</t>
  </si>
  <si>
    <t xml:space="preserve">  No reimbursement entry needed</t>
  </si>
  <si>
    <t>RESULT:</t>
  </si>
  <si>
    <t xml:space="preserve">  Scout has $37.50 to use for camp/activities</t>
  </si>
  <si>
    <t xml:space="preserve">  Family is still out $100 (paid cash for dues)</t>
  </si>
  <si>
    <t xml:space="preserve">  Pack received $112.50 total</t>
  </si>
  <si>
    <t>WHEN TO USE EACH METHOD:</t>
  </si>
  <si>
    <t>Use "Withdrawal" for pack dues when:</t>
  </si>
  <si>
    <t>✓ Scout has already fundraised</t>
  </si>
  <si>
    <t>✓ You want dues paid from their account immediately</t>
  </si>
  <si>
    <t>Use "Pack Dues Paid" when:</t>
  </si>
  <si>
    <t>✓ Family pays cash at the start of year (before fundraising)</t>
  </si>
  <si>
    <t>✓ You need dues payment recorded but scout account stays untouched</t>
  </si>
  <si>
    <t>Use "Reimbursement" when:</t>
  </si>
  <si>
    <t>✓ Family paid cash earlier</t>
  </si>
  <si>
    <t>✓ Scout has now fundraised enough</t>
  </si>
  <si>
    <t>✓ You want to pay the family back</t>
  </si>
  <si>
    <t>OTHER COMMON TRANSACTIONS:</t>
  </si>
  <si>
    <t>Scout uses account for summer camp:</t>
  </si>
  <si>
    <t xml:space="preserve">  Description: Summer Camp Fee</t>
  </si>
  <si>
    <t xml:space="preserve">  Amount: 350</t>
  </si>
  <si>
    <t>Scout buys uniform from pack:</t>
  </si>
  <si>
    <t xml:space="preserve">  Description: Uniform Purchase</t>
  </si>
  <si>
    <t xml:space="preserve">  Amount: 45</t>
  </si>
  <si>
    <t>Pack receives donation:</t>
  </si>
  <si>
    <t xml:space="preserve">  Enter in Pack Finances sheet</t>
  </si>
  <si>
    <t xml:space="preserve">  Type: Income</t>
  </si>
  <si>
    <t>Pack buys awards:</t>
  </si>
  <si>
    <t xml:space="preserve">  Type: Expense</t>
  </si>
  <si>
    <t>BEST PRACTICES:</t>
  </si>
  <si>
    <t>✓ Be consistent with scout names (copy/paste from Scout Accounts sheet)</t>
  </si>
  <si>
    <t>✓ Use exact transaction types: Deposit, Withdrawal, Pack Dues Paid, Reimbursement</t>
  </si>
  <si>
    <t>✓ Record transactions promptly</t>
  </si>
  <si>
    <t>✓ Check Scout Accounts sheet to see payment status</t>
  </si>
  <si>
    <t>✓ Set a reimbursement policy (e.g., "must raise $150+ to get reimbursed")</t>
  </si>
  <si>
    <t>✓ Review monthly</t>
  </si>
  <si>
    <t>✓ Back up regularly</t>
  </si>
  <si>
    <t>UNDERSTANDING THE 25% ON REIMBURSEMENTS:</t>
  </si>
  <si>
    <t>When you reimburse a family, the pack keeps 25% because:</t>
  </si>
  <si>
    <t>1. The scout EARNED that money through fundraising</t>
  </si>
  <si>
    <t>2. It's fair to split it the same way as other fundraising</t>
  </si>
  <si>
    <t>3. The family gets 75% of the reimbursement as credit to scout account</t>
  </si>
  <si>
    <t>4. The pack gets 25% to help cover pack expenses</t>
  </si>
  <si>
    <t>Example: $100 reimbursement = $75 to scout account, $25 to pack</t>
  </si>
  <si>
    <t>If you want to reimburse 100% instead:</t>
  </si>
  <si>
    <t>- Change the Type to "Deposit" instead of "Reimbursement"</t>
  </si>
  <si>
    <t>- But then you lose the 25% pack share from that 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</si>
</sst>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mm/dd/yyyy"/>
  </numFmts>
  <fonts count="11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i/>
      <color theme="1"/>
      <name val="Calibri"/>
      <scheme val="minor"/>
    </font>
    <font>
      <b/>
      <sz val="12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color rgb="FFFF0000"/>
      <name val="Calibri"/>
      <scheme val="minor"/>
    </font>
    <font>
      <b/>
      <color rgb="FFFFFFFF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  <fill>
      <patternFill patternType="solid">
        <fgColor rgb="FFB4C7E7"/>
        <bgColor rgb="FFB4C7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4" numFmtId="0" xfId="0" applyAlignment="1" applyBorder="1" applyFill="1" applyFont="1">
      <alignment horizontal="center" shrinkToFit="0" wrapText="1"/>
    </xf>
    <xf borderId="0" fillId="0" fontId="5" numFmtId="0" xfId="0" applyFont="1"/>
    <xf borderId="0" fillId="0" fontId="6" numFmtId="164" xfId="0" applyFont="1" applyNumberFormat="1"/>
    <xf borderId="0" fillId="0" fontId="6" numFmtId="0" xfId="0" applyAlignment="1" applyFont="1">
      <alignment horizontal="center"/>
    </xf>
    <xf borderId="0" fillId="0" fontId="4" numFmtId="0" xfId="0" applyFont="1"/>
    <xf borderId="0" fillId="0" fontId="4" numFmtId="164" xfId="0" applyFont="1" applyNumberFormat="1"/>
    <xf borderId="1" fillId="4" fontId="4" numFmtId="164" xfId="0" applyBorder="1" applyFill="1" applyFont="1" applyNumberFormat="1"/>
    <xf borderId="1" fillId="5" fontId="4" numFmtId="0" xfId="0" applyBorder="1" applyFill="1" applyFont="1"/>
    <xf borderId="0" fillId="0" fontId="7" numFmtId="0" xfId="0" applyFont="1"/>
    <xf borderId="1" fillId="2" fontId="8" numFmtId="0" xfId="0" applyBorder="1" applyFont="1"/>
    <xf borderId="1" fillId="6" fontId="6" numFmtId="0" xfId="0" applyBorder="1" applyFill="1" applyFont="1"/>
    <xf borderId="1" fillId="7" fontId="6" numFmtId="0" xfId="0" applyBorder="1" applyFill="1" applyFont="1"/>
    <xf borderId="1" fillId="3" fontId="6" numFmtId="0" xfId="0" applyBorder="1" applyFont="1"/>
    <xf borderId="1" fillId="5" fontId="6" numFmtId="0" xfId="0" applyBorder="1" applyFont="1"/>
    <xf borderId="0" fillId="0" fontId="6" numFmtId="165" xfId="0" applyFont="1" applyNumberFormat="1"/>
    <xf borderId="1" fillId="6" fontId="4" numFmtId="164" xfId="0" applyBorder="1" applyFont="1" applyNumberFormat="1"/>
    <xf borderId="0" fillId="0" fontId="9" numFmtId="0" xfId="0" applyFont="1"/>
    <xf borderId="1" fillId="4" fontId="9" numFmtId="164" xfId="0" applyBorder="1" applyFont="1" applyNumberFormat="1"/>
    <xf borderId="1" fillId="3" fontId="4" numFmtId="0" xfId="0" applyBorder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6.0"/>
    <col customWidth="1" min="3" max="3" width="14.0"/>
    <col customWidth="1" min="4" max="4" width="16.0"/>
    <col customWidth="1" min="5" max="6" width="14.0"/>
    <col customWidth="1" min="7" max="7" width="16.0"/>
    <col customWidth="1" min="8" max="8" width="30.0"/>
    <col customWidth="1" min="9" max="26" width="8.71"/>
  </cols>
  <sheetData>
    <row r="1">
      <c r="A1" s="1" t="s">
        <v>0</v>
      </c>
    </row>
    <row r="3">
      <c r="A3" s="2" t="s">
        <v>1</v>
      </c>
    </row>
    <row r="5">
      <c r="A5" s="3" t="s">
        <v>2</v>
      </c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>
      <c r="A7" s="5" t="s">
        <v>11</v>
      </c>
      <c r="B7" s="6">
        <v>0.0</v>
      </c>
      <c r="C7" s="6">
        <f>SUMIFS(Ledger!$E:$E,Ledger!$B:$B,A7,Ledger!$D:$D,"Deposit")+SUMIFS(Ledger!$E:$E,Ledger!$B:$B,A7,Ledger!$D:$D,"Reimbursement")</f>
        <v>200</v>
      </c>
      <c r="D7" s="6">
        <f>SUMIFS(Ledger!$E:$E,Ledger!$B:$B,A7,Ledger!$D:$D,"Withdrawal")</f>
        <v>0</v>
      </c>
      <c r="E7" s="6">
        <f t="shared" ref="E7:E46" si="1">B7+C7-D7</f>
        <v>200</v>
      </c>
      <c r="F7" s="7" t="str">
        <f>IF(COUNTIFS(Ledger!$B:$B,A7,Ledger!$C:$C,"Pack Dues")&gt;0,"✓ Paid","")</f>
        <v/>
      </c>
      <c r="G7" s="7" t="str">
        <f>IF(COUNTIFS(Ledger!$B:$B,A7,Ledger!$C:$C,"Pack Dues",Ledger!$D:$D,"Withdrawal")&gt;0,"Scout Account",IF(COUNTIFS(Ledger!$B:$B,A7,Ledger!$C:$C,"Pack Dues")&gt;0,"Family Cash",""))</f>
        <v/>
      </c>
    </row>
    <row r="8">
      <c r="A8" s="5" t="s">
        <v>12</v>
      </c>
      <c r="B8" s="6">
        <v>0.0</v>
      </c>
      <c r="C8" s="6">
        <f>SUMIFS(Ledger!$E:$E,Ledger!$B:$B,A8,Ledger!$D:$D,"Deposit")+SUMIFS(Ledger!$E:$E,Ledger!$B:$B,A8,Ledger!$D:$D,"Reimbursement")</f>
        <v>250</v>
      </c>
      <c r="D8" s="6">
        <f>SUMIFS(Ledger!$E:$E,Ledger!$B:$B,A8,Ledger!$D:$D,"Withdrawal")</f>
        <v>0</v>
      </c>
      <c r="E8" s="6">
        <f t="shared" si="1"/>
        <v>250</v>
      </c>
      <c r="F8" s="7" t="str">
        <f>IF(COUNTIFS(Ledger!$B:$B,A8,Ledger!$C:$C,"Pack Dues")&gt;0,"✓ Paid","")</f>
        <v>✓ Paid</v>
      </c>
      <c r="G8" s="7" t="str">
        <f>IF(COUNTIFS(Ledger!$B:$B,A8,Ledger!$C:$C,"Pack Dues",Ledger!$D:$D,"Withdrawal")&gt;0,"Scout Account",IF(COUNTIFS(Ledger!$B:$B,A8,Ledger!$C:$C,"Pack Dues")&gt;0,"Family Cash",""))</f>
        <v>Family Cash</v>
      </c>
    </row>
    <row r="9">
      <c r="A9" s="5" t="s">
        <v>13</v>
      </c>
      <c r="B9" s="6">
        <v>0.0</v>
      </c>
      <c r="C9" s="6">
        <f>SUMIFS(Ledger!$E:$E,Ledger!$B:$B,A9,Ledger!$D:$D,"Deposit")+SUMIFS(Ledger!$E:$E,Ledger!$B:$B,A9,Ledger!$D:$D,"Reimbursement")</f>
        <v>0</v>
      </c>
      <c r="D9" s="6">
        <f>SUMIFS(Ledger!$E:$E,Ledger!$B:$B,A9,Ledger!$D:$D,"Withdrawal")</f>
        <v>300</v>
      </c>
      <c r="E9" s="6">
        <f t="shared" si="1"/>
        <v>-300</v>
      </c>
      <c r="F9" s="7" t="str">
        <f>IF(COUNTIFS(Ledger!$B:$B,A9,Ledger!$C:$C,"Pack Dues")&gt;0,"✓ Paid","")</f>
        <v/>
      </c>
      <c r="G9" s="7" t="str">
        <f>IF(COUNTIFS(Ledger!$B:$B,A9,Ledger!$C:$C,"Pack Dues",Ledger!$D:$D,"Withdrawal")&gt;0,"Scout Account",IF(COUNTIFS(Ledger!$B:$B,A9,Ledger!$C:$C,"Pack Dues")&gt;0,"Family Cash",""))</f>
        <v/>
      </c>
    </row>
    <row r="10">
      <c r="A10" s="5" t="s">
        <v>14</v>
      </c>
      <c r="B10" s="6">
        <v>0.0</v>
      </c>
      <c r="C10" s="6">
        <f>SUMIFS(Ledger!$E:$E,Ledger!$B:$B,A10,Ledger!$D:$D,"Deposit")+SUMIFS(Ledger!$E:$E,Ledger!$B:$B,A10,Ledger!$D:$D,"Reimbursement")</f>
        <v>75</v>
      </c>
      <c r="D10" s="6">
        <f>SUMIFS(Ledger!$E:$E,Ledger!$B:$B,A10,Ledger!$D:$D,"Withdrawal")</f>
        <v>0</v>
      </c>
      <c r="E10" s="6">
        <f t="shared" si="1"/>
        <v>75</v>
      </c>
      <c r="F10" s="7" t="str">
        <f>IF(COUNTIFS(Ledger!$B:$B,A10,Ledger!$C:$C,"Pack Dues")&gt;0,"✓ Paid","")</f>
        <v/>
      </c>
      <c r="G10" s="7" t="str">
        <f>IF(COUNTIFS(Ledger!$B:$B,A10,Ledger!$C:$C,"Pack Dues",Ledger!$D:$D,"Withdrawal")&gt;0,"Scout Account",IF(COUNTIFS(Ledger!$B:$B,A10,Ledger!$C:$C,"Pack Dues")&gt;0,"Family Cash",""))</f>
        <v/>
      </c>
    </row>
    <row r="11">
      <c r="A11" s="5" t="s">
        <v>15</v>
      </c>
      <c r="B11" s="6">
        <v>0.0</v>
      </c>
      <c r="C11" s="6">
        <f>SUMIFS(Ledger!$E:$E,Ledger!$B:$B,A11,Ledger!$D:$D,"Deposit")+SUMIFS(Ledger!$E:$E,Ledger!$B:$B,A11,Ledger!$D:$D,"Reimbursement")</f>
        <v>0</v>
      </c>
      <c r="D11" s="6">
        <f>SUMIFS(Ledger!$E:$E,Ledger!$B:$B,A11,Ledger!$D:$D,"Withdrawal")</f>
        <v>0</v>
      </c>
      <c r="E11" s="6">
        <f t="shared" si="1"/>
        <v>0</v>
      </c>
      <c r="F11" s="7" t="str">
        <f>IF(COUNTIFS(Ledger!$B:$B,A11,Ledger!$C:$C,"Pack Dues")&gt;0,"✓ Paid","")</f>
        <v/>
      </c>
      <c r="G11" s="7" t="str">
        <f>IF(COUNTIFS(Ledger!$B:$B,A11,Ledger!$C:$C,"Pack Dues",Ledger!$D:$D,"Withdrawal")&gt;0,"Scout Account",IF(COUNTIFS(Ledger!$B:$B,A11,Ledger!$C:$C,"Pack Dues")&gt;0,"Family Cash",""))</f>
        <v/>
      </c>
    </row>
    <row r="12">
      <c r="A12" s="5" t="s">
        <v>16</v>
      </c>
      <c r="B12" s="6">
        <v>0.0</v>
      </c>
      <c r="C12" s="6">
        <f>SUMIFS(Ledger!$E:$E,Ledger!$B:$B,A12,Ledger!$D:$D,"Deposit")+SUMIFS(Ledger!$E:$E,Ledger!$B:$B,A12,Ledger!$D:$D,"Reimbursement")</f>
        <v>0</v>
      </c>
      <c r="D12" s="6">
        <f>SUMIFS(Ledger!$E:$E,Ledger!$B:$B,A12,Ledger!$D:$D,"Withdrawal")</f>
        <v>0</v>
      </c>
      <c r="E12" s="6">
        <f t="shared" si="1"/>
        <v>0</v>
      </c>
      <c r="F12" s="7" t="str">
        <f>IF(COUNTIFS(Ledger!$B:$B,A12,Ledger!$C:$C,"Pack Dues")&gt;0,"✓ Paid","")</f>
        <v/>
      </c>
      <c r="G12" s="7" t="str">
        <f>IF(COUNTIFS(Ledger!$B:$B,A12,Ledger!$C:$C,"Pack Dues",Ledger!$D:$D,"Withdrawal")&gt;0,"Scout Account",IF(COUNTIFS(Ledger!$B:$B,A12,Ledger!$C:$C,"Pack Dues")&gt;0,"Family Cash",""))</f>
        <v/>
      </c>
    </row>
    <row r="13">
      <c r="A13" s="5" t="s">
        <v>17</v>
      </c>
      <c r="B13" s="6">
        <v>0.0</v>
      </c>
      <c r="C13" s="6">
        <f>SUMIFS(Ledger!$E:$E,Ledger!$B:$B,A13,Ledger!$D:$D,"Deposit")+SUMIFS(Ledger!$E:$E,Ledger!$B:$B,A13,Ledger!$D:$D,"Reimbursement")</f>
        <v>0</v>
      </c>
      <c r="D13" s="6">
        <f>SUMIFS(Ledger!$E:$E,Ledger!$B:$B,A13,Ledger!$D:$D,"Withdrawal")</f>
        <v>0</v>
      </c>
      <c r="E13" s="6">
        <f t="shared" si="1"/>
        <v>0</v>
      </c>
      <c r="F13" s="7" t="str">
        <f>IF(COUNTIFS(Ledger!$B:$B,A13,Ledger!$C:$C,"Pack Dues")&gt;0,"✓ Paid","")</f>
        <v/>
      </c>
      <c r="G13" s="7" t="str">
        <f>IF(COUNTIFS(Ledger!$B:$B,A13,Ledger!$C:$C,"Pack Dues",Ledger!$D:$D,"Withdrawal")&gt;0,"Scout Account",IF(COUNTIFS(Ledger!$B:$B,A13,Ledger!$C:$C,"Pack Dues")&gt;0,"Family Cash",""))</f>
        <v/>
      </c>
    </row>
    <row r="14">
      <c r="A14" s="5" t="s">
        <v>18</v>
      </c>
      <c r="B14" s="6">
        <v>0.0</v>
      </c>
      <c r="C14" s="6">
        <f>SUMIFS(Ledger!$E:$E,Ledger!$B:$B,A14,Ledger!$D:$D,"Deposit")+SUMIFS(Ledger!$E:$E,Ledger!$B:$B,A14,Ledger!$D:$D,"Reimbursement")</f>
        <v>0</v>
      </c>
      <c r="D14" s="6">
        <f>SUMIFS(Ledger!$E:$E,Ledger!$B:$B,A14,Ledger!$D:$D,"Withdrawal")</f>
        <v>0</v>
      </c>
      <c r="E14" s="6">
        <f t="shared" si="1"/>
        <v>0</v>
      </c>
      <c r="F14" s="7" t="str">
        <f>IF(COUNTIFS(Ledger!$B:$B,A14,Ledger!$C:$C,"Pack Dues")&gt;0,"✓ Paid","")</f>
        <v/>
      </c>
      <c r="G14" s="7" t="str">
        <f>IF(COUNTIFS(Ledger!$B:$B,A14,Ledger!$C:$C,"Pack Dues",Ledger!$D:$D,"Withdrawal")&gt;0,"Scout Account",IF(COUNTIFS(Ledger!$B:$B,A14,Ledger!$C:$C,"Pack Dues")&gt;0,"Family Cash",""))</f>
        <v/>
      </c>
    </row>
    <row r="15">
      <c r="A15" s="5" t="s">
        <v>19</v>
      </c>
      <c r="B15" s="6">
        <v>0.0</v>
      </c>
      <c r="C15" s="6">
        <f>SUMIFS(Ledger!$E:$E,Ledger!$B:$B,A15,Ledger!$D:$D,"Deposit")+SUMIFS(Ledger!$E:$E,Ledger!$B:$B,A15,Ledger!$D:$D,"Reimbursement")</f>
        <v>0</v>
      </c>
      <c r="D15" s="6">
        <f>SUMIFS(Ledger!$E:$E,Ledger!$B:$B,A15,Ledger!$D:$D,"Withdrawal")</f>
        <v>0</v>
      </c>
      <c r="E15" s="6">
        <f t="shared" si="1"/>
        <v>0</v>
      </c>
      <c r="F15" s="7" t="str">
        <f>IF(COUNTIFS(Ledger!$B:$B,A15,Ledger!$C:$C,"Pack Dues")&gt;0,"✓ Paid","")</f>
        <v/>
      </c>
      <c r="G15" s="7" t="str">
        <f>IF(COUNTIFS(Ledger!$B:$B,A15,Ledger!$C:$C,"Pack Dues",Ledger!$D:$D,"Withdrawal")&gt;0,"Scout Account",IF(COUNTIFS(Ledger!$B:$B,A15,Ledger!$C:$C,"Pack Dues")&gt;0,"Family Cash",""))</f>
        <v/>
      </c>
    </row>
    <row r="16">
      <c r="A16" s="5" t="s">
        <v>20</v>
      </c>
      <c r="B16" s="6">
        <v>0.0</v>
      </c>
      <c r="C16" s="6">
        <f>SUMIFS(Ledger!$E:$E,Ledger!$B:$B,A16,Ledger!$D:$D,"Deposit")+SUMIFS(Ledger!$E:$E,Ledger!$B:$B,A16,Ledger!$D:$D,"Reimbursement")</f>
        <v>0</v>
      </c>
      <c r="D16" s="6">
        <f>SUMIFS(Ledger!$E:$E,Ledger!$B:$B,A16,Ledger!$D:$D,"Withdrawal")</f>
        <v>0</v>
      </c>
      <c r="E16" s="6">
        <f t="shared" si="1"/>
        <v>0</v>
      </c>
      <c r="F16" s="7" t="str">
        <f>IF(COUNTIFS(Ledger!$B:$B,A16,Ledger!$C:$C,"Pack Dues")&gt;0,"✓ Paid","")</f>
        <v/>
      </c>
      <c r="G16" s="7" t="str">
        <f>IF(COUNTIFS(Ledger!$B:$B,A16,Ledger!$C:$C,"Pack Dues",Ledger!$D:$D,"Withdrawal")&gt;0,"Scout Account",IF(COUNTIFS(Ledger!$B:$B,A16,Ledger!$C:$C,"Pack Dues")&gt;0,"Family Cash",""))</f>
        <v/>
      </c>
    </row>
    <row r="17">
      <c r="A17" s="5" t="s">
        <v>21</v>
      </c>
      <c r="B17" s="6">
        <v>0.0</v>
      </c>
      <c r="C17" s="6">
        <f>SUMIFS(Ledger!$E:$E,Ledger!$B:$B,A17,Ledger!$D:$D,"Deposit")+SUMIFS(Ledger!$E:$E,Ledger!$B:$B,A17,Ledger!$D:$D,"Reimbursement")</f>
        <v>0</v>
      </c>
      <c r="D17" s="6">
        <f>SUMIFS(Ledger!$E:$E,Ledger!$B:$B,A17,Ledger!$D:$D,"Withdrawal")</f>
        <v>0</v>
      </c>
      <c r="E17" s="6">
        <f t="shared" si="1"/>
        <v>0</v>
      </c>
      <c r="F17" s="7" t="str">
        <f>IF(COUNTIFS(Ledger!$B:$B,A17,Ledger!$C:$C,"Pack Dues")&gt;0,"✓ Paid","")</f>
        <v/>
      </c>
      <c r="G17" s="7" t="str">
        <f>IF(COUNTIFS(Ledger!$B:$B,A17,Ledger!$C:$C,"Pack Dues",Ledger!$D:$D,"Withdrawal")&gt;0,"Scout Account",IF(COUNTIFS(Ledger!$B:$B,A17,Ledger!$C:$C,"Pack Dues")&gt;0,"Family Cash",""))</f>
        <v/>
      </c>
    </row>
    <row r="18">
      <c r="A18" s="5" t="s">
        <v>22</v>
      </c>
      <c r="B18" s="6">
        <v>0.0</v>
      </c>
      <c r="C18" s="6">
        <f>SUMIFS(Ledger!$E:$E,Ledger!$B:$B,A18,Ledger!$D:$D,"Deposit")+SUMIFS(Ledger!$E:$E,Ledger!$B:$B,A18,Ledger!$D:$D,"Reimbursement")</f>
        <v>0</v>
      </c>
      <c r="D18" s="6">
        <f>SUMIFS(Ledger!$E:$E,Ledger!$B:$B,A18,Ledger!$D:$D,"Withdrawal")</f>
        <v>0</v>
      </c>
      <c r="E18" s="6">
        <f t="shared" si="1"/>
        <v>0</v>
      </c>
      <c r="F18" s="7" t="str">
        <f>IF(COUNTIFS(Ledger!$B:$B,A18,Ledger!$C:$C,"Pack Dues")&gt;0,"✓ Paid","")</f>
        <v/>
      </c>
      <c r="G18" s="7" t="str">
        <f>IF(COUNTIFS(Ledger!$B:$B,A18,Ledger!$C:$C,"Pack Dues",Ledger!$D:$D,"Withdrawal")&gt;0,"Scout Account",IF(COUNTIFS(Ledger!$B:$B,A18,Ledger!$C:$C,"Pack Dues")&gt;0,"Family Cash",""))</f>
        <v/>
      </c>
    </row>
    <row r="19">
      <c r="A19" s="5" t="s">
        <v>23</v>
      </c>
      <c r="B19" s="6">
        <v>0.0</v>
      </c>
      <c r="C19" s="6">
        <f>SUMIFS(Ledger!$E:$E,Ledger!$B:$B,A19,Ledger!$D:$D,"Deposit")+SUMIFS(Ledger!$E:$E,Ledger!$B:$B,A19,Ledger!$D:$D,"Reimbursement")</f>
        <v>0</v>
      </c>
      <c r="D19" s="6">
        <f>SUMIFS(Ledger!$E:$E,Ledger!$B:$B,A19,Ledger!$D:$D,"Withdrawal")</f>
        <v>0</v>
      </c>
      <c r="E19" s="6">
        <f t="shared" si="1"/>
        <v>0</v>
      </c>
      <c r="F19" s="7" t="str">
        <f>IF(COUNTIFS(Ledger!$B:$B,A19,Ledger!$C:$C,"Pack Dues")&gt;0,"✓ Paid","")</f>
        <v/>
      </c>
      <c r="G19" s="7" t="str">
        <f>IF(COUNTIFS(Ledger!$B:$B,A19,Ledger!$C:$C,"Pack Dues",Ledger!$D:$D,"Withdrawal")&gt;0,"Scout Account",IF(COUNTIFS(Ledger!$B:$B,A19,Ledger!$C:$C,"Pack Dues")&gt;0,"Family Cash",""))</f>
        <v/>
      </c>
    </row>
    <row r="20">
      <c r="A20" s="5" t="s">
        <v>24</v>
      </c>
      <c r="B20" s="6">
        <v>0.0</v>
      </c>
      <c r="C20" s="6">
        <f>SUMIFS(Ledger!$E:$E,Ledger!$B:$B,A20,Ledger!$D:$D,"Deposit")+SUMIFS(Ledger!$E:$E,Ledger!$B:$B,A20,Ledger!$D:$D,"Reimbursement")</f>
        <v>0</v>
      </c>
      <c r="D20" s="6">
        <f>SUMIFS(Ledger!$E:$E,Ledger!$B:$B,A20,Ledger!$D:$D,"Withdrawal")</f>
        <v>0</v>
      </c>
      <c r="E20" s="6">
        <f t="shared" si="1"/>
        <v>0</v>
      </c>
      <c r="F20" s="7" t="str">
        <f>IF(COUNTIFS(Ledger!$B:$B,A20,Ledger!$C:$C,"Pack Dues")&gt;0,"✓ Paid","")</f>
        <v/>
      </c>
      <c r="G20" s="7" t="str">
        <f>IF(COUNTIFS(Ledger!$B:$B,A20,Ledger!$C:$C,"Pack Dues",Ledger!$D:$D,"Withdrawal")&gt;0,"Scout Account",IF(COUNTIFS(Ledger!$B:$B,A20,Ledger!$C:$C,"Pack Dues")&gt;0,"Family Cash",""))</f>
        <v/>
      </c>
    </row>
    <row r="21" ht="15.75" customHeight="1">
      <c r="A21" s="5" t="s">
        <v>25</v>
      </c>
      <c r="B21" s="6">
        <v>0.0</v>
      </c>
      <c r="C21" s="6">
        <f>SUMIFS(Ledger!$E:$E,Ledger!$B:$B,A21,Ledger!$D:$D,"Deposit")+SUMIFS(Ledger!$E:$E,Ledger!$B:$B,A21,Ledger!$D:$D,"Reimbursement")</f>
        <v>0</v>
      </c>
      <c r="D21" s="6">
        <f>SUMIFS(Ledger!$E:$E,Ledger!$B:$B,A21,Ledger!$D:$D,"Withdrawal")</f>
        <v>0</v>
      </c>
      <c r="E21" s="6">
        <f t="shared" si="1"/>
        <v>0</v>
      </c>
      <c r="F21" s="7" t="str">
        <f>IF(COUNTIFS(Ledger!$B:$B,A21,Ledger!$C:$C,"Pack Dues")&gt;0,"✓ Paid","")</f>
        <v/>
      </c>
      <c r="G21" s="7" t="str">
        <f>IF(COUNTIFS(Ledger!$B:$B,A21,Ledger!$C:$C,"Pack Dues",Ledger!$D:$D,"Withdrawal")&gt;0,"Scout Account",IF(COUNTIFS(Ledger!$B:$B,A21,Ledger!$C:$C,"Pack Dues")&gt;0,"Family Cash",""))</f>
        <v/>
      </c>
    </row>
    <row r="22" ht="15.75" customHeight="1">
      <c r="A22" s="5" t="s">
        <v>26</v>
      </c>
      <c r="B22" s="6">
        <v>0.0</v>
      </c>
      <c r="C22" s="6">
        <f>SUMIFS(Ledger!$E:$E,Ledger!$B:$B,A22,Ledger!$D:$D,"Deposit")+SUMIFS(Ledger!$E:$E,Ledger!$B:$B,A22,Ledger!$D:$D,"Reimbursement")</f>
        <v>0</v>
      </c>
      <c r="D22" s="6">
        <f>SUMIFS(Ledger!$E:$E,Ledger!$B:$B,A22,Ledger!$D:$D,"Withdrawal")</f>
        <v>0</v>
      </c>
      <c r="E22" s="6">
        <f t="shared" si="1"/>
        <v>0</v>
      </c>
      <c r="F22" s="7" t="str">
        <f>IF(COUNTIFS(Ledger!$B:$B,A22,Ledger!$C:$C,"Pack Dues")&gt;0,"✓ Paid","")</f>
        <v/>
      </c>
      <c r="G22" s="7" t="str">
        <f>IF(COUNTIFS(Ledger!$B:$B,A22,Ledger!$C:$C,"Pack Dues",Ledger!$D:$D,"Withdrawal")&gt;0,"Scout Account",IF(COUNTIFS(Ledger!$B:$B,A22,Ledger!$C:$C,"Pack Dues")&gt;0,"Family Cash",""))</f>
        <v/>
      </c>
    </row>
    <row r="23" ht="15.75" customHeight="1">
      <c r="A23" s="5" t="s">
        <v>27</v>
      </c>
      <c r="B23" s="6">
        <v>0.0</v>
      </c>
      <c r="C23" s="6">
        <f>SUMIFS(Ledger!$E:$E,Ledger!$B:$B,A23,Ledger!$D:$D,"Deposit")+SUMIFS(Ledger!$E:$E,Ledger!$B:$B,A23,Ledger!$D:$D,"Reimbursement")</f>
        <v>0</v>
      </c>
      <c r="D23" s="6">
        <f>SUMIFS(Ledger!$E:$E,Ledger!$B:$B,A23,Ledger!$D:$D,"Withdrawal")</f>
        <v>0</v>
      </c>
      <c r="E23" s="6">
        <f t="shared" si="1"/>
        <v>0</v>
      </c>
      <c r="F23" s="7" t="str">
        <f>IF(COUNTIFS(Ledger!$B:$B,A23,Ledger!$C:$C,"Pack Dues")&gt;0,"✓ Paid","")</f>
        <v/>
      </c>
      <c r="G23" s="7" t="str">
        <f>IF(COUNTIFS(Ledger!$B:$B,A23,Ledger!$C:$C,"Pack Dues",Ledger!$D:$D,"Withdrawal")&gt;0,"Scout Account",IF(COUNTIFS(Ledger!$B:$B,A23,Ledger!$C:$C,"Pack Dues")&gt;0,"Family Cash",""))</f>
        <v/>
      </c>
    </row>
    <row r="24" ht="15.75" customHeight="1">
      <c r="A24" s="5" t="s">
        <v>28</v>
      </c>
      <c r="B24" s="6">
        <v>0.0</v>
      </c>
      <c r="C24" s="6">
        <f>SUMIFS(Ledger!$E:$E,Ledger!$B:$B,A24,Ledger!$D:$D,"Deposit")+SUMIFS(Ledger!$E:$E,Ledger!$B:$B,A24,Ledger!$D:$D,"Reimbursement")</f>
        <v>0</v>
      </c>
      <c r="D24" s="6">
        <f>SUMIFS(Ledger!$E:$E,Ledger!$B:$B,A24,Ledger!$D:$D,"Withdrawal")</f>
        <v>0</v>
      </c>
      <c r="E24" s="6">
        <f t="shared" si="1"/>
        <v>0</v>
      </c>
      <c r="F24" s="7" t="str">
        <f>IF(COUNTIFS(Ledger!$B:$B,A24,Ledger!$C:$C,"Pack Dues")&gt;0,"✓ Paid","")</f>
        <v/>
      </c>
      <c r="G24" s="7" t="str">
        <f>IF(COUNTIFS(Ledger!$B:$B,A24,Ledger!$C:$C,"Pack Dues",Ledger!$D:$D,"Withdrawal")&gt;0,"Scout Account",IF(COUNTIFS(Ledger!$B:$B,A24,Ledger!$C:$C,"Pack Dues")&gt;0,"Family Cash",""))</f>
        <v/>
      </c>
    </row>
    <row r="25" ht="15.75" customHeight="1">
      <c r="A25" s="5" t="s">
        <v>29</v>
      </c>
      <c r="B25" s="6">
        <v>0.0</v>
      </c>
      <c r="C25" s="6">
        <f>SUMIFS(Ledger!$E:$E,Ledger!$B:$B,A25,Ledger!$D:$D,"Deposit")+SUMIFS(Ledger!$E:$E,Ledger!$B:$B,A25,Ledger!$D:$D,"Reimbursement")</f>
        <v>0</v>
      </c>
      <c r="D25" s="6">
        <f>SUMIFS(Ledger!$E:$E,Ledger!$B:$B,A25,Ledger!$D:$D,"Withdrawal")</f>
        <v>0</v>
      </c>
      <c r="E25" s="6">
        <f t="shared" si="1"/>
        <v>0</v>
      </c>
      <c r="F25" s="7" t="str">
        <f>IF(COUNTIFS(Ledger!$B:$B,A25,Ledger!$C:$C,"Pack Dues")&gt;0,"✓ Paid","")</f>
        <v/>
      </c>
      <c r="G25" s="7" t="str">
        <f>IF(COUNTIFS(Ledger!$B:$B,A25,Ledger!$C:$C,"Pack Dues",Ledger!$D:$D,"Withdrawal")&gt;0,"Scout Account",IF(COUNTIFS(Ledger!$B:$B,A25,Ledger!$C:$C,"Pack Dues")&gt;0,"Family Cash",""))</f>
        <v/>
      </c>
    </row>
    <row r="26" ht="15.75" customHeight="1">
      <c r="A26" s="5" t="s">
        <v>30</v>
      </c>
      <c r="B26" s="6">
        <v>0.0</v>
      </c>
      <c r="C26" s="6">
        <f>SUMIFS(Ledger!$E:$E,Ledger!$B:$B,A26,Ledger!$D:$D,"Deposit")+SUMIFS(Ledger!$E:$E,Ledger!$B:$B,A26,Ledger!$D:$D,"Reimbursement")</f>
        <v>0</v>
      </c>
      <c r="D26" s="6">
        <f>SUMIFS(Ledger!$E:$E,Ledger!$B:$B,A26,Ledger!$D:$D,"Withdrawal")</f>
        <v>0</v>
      </c>
      <c r="E26" s="6">
        <f t="shared" si="1"/>
        <v>0</v>
      </c>
      <c r="F26" s="7" t="str">
        <f>IF(COUNTIFS(Ledger!$B:$B,A26,Ledger!$C:$C,"Pack Dues")&gt;0,"✓ Paid","")</f>
        <v/>
      </c>
      <c r="G26" s="7" t="str">
        <f>IF(COUNTIFS(Ledger!$B:$B,A26,Ledger!$C:$C,"Pack Dues",Ledger!$D:$D,"Withdrawal")&gt;0,"Scout Account",IF(COUNTIFS(Ledger!$B:$B,A26,Ledger!$C:$C,"Pack Dues")&gt;0,"Family Cash",""))</f>
        <v/>
      </c>
    </row>
    <row r="27" ht="15.75" customHeight="1">
      <c r="A27" s="5" t="s">
        <v>31</v>
      </c>
      <c r="B27" s="6">
        <v>0.0</v>
      </c>
      <c r="C27" s="6">
        <f>SUMIFS(Ledger!$E:$E,Ledger!$B:$B,A27,Ledger!$D:$D,"Deposit")+SUMIFS(Ledger!$E:$E,Ledger!$B:$B,A27,Ledger!$D:$D,"Reimbursement")</f>
        <v>0</v>
      </c>
      <c r="D27" s="6">
        <f>SUMIFS(Ledger!$E:$E,Ledger!$B:$B,A27,Ledger!$D:$D,"Withdrawal")</f>
        <v>0</v>
      </c>
      <c r="E27" s="6">
        <f t="shared" si="1"/>
        <v>0</v>
      </c>
      <c r="F27" s="7" t="str">
        <f>IF(COUNTIFS(Ledger!$B:$B,A27,Ledger!$C:$C,"Pack Dues")&gt;0,"✓ Paid","")</f>
        <v/>
      </c>
      <c r="G27" s="7" t="str">
        <f>IF(COUNTIFS(Ledger!$B:$B,A27,Ledger!$C:$C,"Pack Dues",Ledger!$D:$D,"Withdrawal")&gt;0,"Scout Account",IF(COUNTIFS(Ledger!$B:$B,A27,Ledger!$C:$C,"Pack Dues")&gt;0,"Family Cash",""))</f>
        <v/>
      </c>
    </row>
    <row r="28" ht="15.75" customHeight="1">
      <c r="A28" s="5" t="s">
        <v>32</v>
      </c>
      <c r="B28" s="6">
        <v>0.0</v>
      </c>
      <c r="C28" s="6">
        <f>SUMIFS(Ledger!$E:$E,Ledger!$B:$B,A28,Ledger!$D:$D,"Deposit")+SUMIFS(Ledger!$E:$E,Ledger!$B:$B,A28,Ledger!$D:$D,"Reimbursement")</f>
        <v>0</v>
      </c>
      <c r="D28" s="6">
        <f>SUMIFS(Ledger!$E:$E,Ledger!$B:$B,A28,Ledger!$D:$D,"Withdrawal")</f>
        <v>0</v>
      </c>
      <c r="E28" s="6">
        <f t="shared" si="1"/>
        <v>0</v>
      </c>
      <c r="F28" s="7" t="str">
        <f>IF(COUNTIFS(Ledger!$B:$B,A28,Ledger!$C:$C,"Pack Dues")&gt;0,"✓ Paid","")</f>
        <v/>
      </c>
      <c r="G28" s="7" t="str">
        <f>IF(COUNTIFS(Ledger!$B:$B,A28,Ledger!$C:$C,"Pack Dues",Ledger!$D:$D,"Withdrawal")&gt;0,"Scout Account",IF(COUNTIFS(Ledger!$B:$B,A28,Ledger!$C:$C,"Pack Dues")&gt;0,"Family Cash",""))</f>
        <v/>
      </c>
    </row>
    <row r="29" ht="15.75" customHeight="1">
      <c r="A29" s="5" t="s">
        <v>33</v>
      </c>
      <c r="B29" s="6">
        <v>0.0</v>
      </c>
      <c r="C29" s="6">
        <f>SUMIFS(Ledger!$E:$E,Ledger!$B:$B,A29,Ledger!$D:$D,"Deposit")+SUMIFS(Ledger!$E:$E,Ledger!$B:$B,A29,Ledger!$D:$D,"Reimbursement")</f>
        <v>0</v>
      </c>
      <c r="D29" s="6">
        <f>SUMIFS(Ledger!$E:$E,Ledger!$B:$B,A29,Ledger!$D:$D,"Withdrawal")</f>
        <v>0</v>
      </c>
      <c r="E29" s="6">
        <f t="shared" si="1"/>
        <v>0</v>
      </c>
      <c r="F29" s="7" t="str">
        <f>IF(COUNTIFS(Ledger!$B:$B,A29,Ledger!$C:$C,"Pack Dues")&gt;0,"✓ Paid","")</f>
        <v/>
      </c>
      <c r="G29" s="7" t="str">
        <f>IF(COUNTIFS(Ledger!$B:$B,A29,Ledger!$C:$C,"Pack Dues",Ledger!$D:$D,"Withdrawal")&gt;0,"Scout Account",IF(COUNTIFS(Ledger!$B:$B,A29,Ledger!$C:$C,"Pack Dues")&gt;0,"Family Cash",""))</f>
        <v/>
      </c>
    </row>
    <row r="30" ht="15.75" customHeight="1">
      <c r="A30" s="5" t="s">
        <v>34</v>
      </c>
      <c r="B30" s="6">
        <v>0.0</v>
      </c>
      <c r="C30" s="6">
        <f>SUMIFS(Ledger!$E:$E,Ledger!$B:$B,A30,Ledger!$D:$D,"Deposit")+SUMIFS(Ledger!$E:$E,Ledger!$B:$B,A30,Ledger!$D:$D,"Reimbursement")</f>
        <v>0</v>
      </c>
      <c r="D30" s="6">
        <f>SUMIFS(Ledger!$E:$E,Ledger!$B:$B,A30,Ledger!$D:$D,"Withdrawal")</f>
        <v>0</v>
      </c>
      <c r="E30" s="6">
        <f t="shared" si="1"/>
        <v>0</v>
      </c>
      <c r="F30" s="7" t="str">
        <f>IF(COUNTIFS(Ledger!$B:$B,A30,Ledger!$C:$C,"Pack Dues")&gt;0,"✓ Paid","")</f>
        <v/>
      </c>
      <c r="G30" s="7" t="str">
        <f>IF(COUNTIFS(Ledger!$B:$B,A30,Ledger!$C:$C,"Pack Dues",Ledger!$D:$D,"Withdrawal")&gt;0,"Scout Account",IF(COUNTIFS(Ledger!$B:$B,A30,Ledger!$C:$C,"Pack Dues")&gt;0,"Family Cash",""))</f>
        <v/>
      </c>
    </row>
    <row r="31" ht="15.75" customHeight="1">
      <c r="A31" s="5" t="s">
        <v>35</v>
      </c>
      <c r="B31" s="6">
        <v>0.0</v>
      </c>
      <c r="C31" s="6">
        <f>SUMIFS(Ledger!$E:$E,Ledger!$B:$B,A31,Ledger!$D:$D,"Deposit")+SUMIFS(Ledger!$E:$E,Ledger!$B:$B,A31,Ledger!$D:$D,"Reimbursement")</f>
        <v>0</v>
      </c>
      <c r="D31" s="6">
        <f>SUMIFS(Ledger!$E:$E,Ledger!$B:$B,A31,Ledger!$D:$D,"Withdrawal")</f>
        <v>0</v>
      </c>
      <c r="E31" s="6">
        <f t="shared" si="1"/>
        <v>0</v>
      </c>
      <c r="F31" s="7" t="str">
        <f>IF(COUNTIFS(Ledger!$B:$B,A31,Ledger!$C:$C,"Pack Dues")&gt;0,"✓ Paid","")</f>
        <v/>
      </c>
      <c r="G31" s="7" t="str">
        <f>IF(COUNTIFS(Ledger!$B:$B,A31,Ledger!$C:$C,"Pack Dues",Ledger!$D:$D,"Withdrawal")&gt;0,"Scout Account",IF(COUNTIFS(Ledger!$B:$B,A31,Ledger!$C:$C,"Pack Dues")&gt;0,"Family Cash",""))</f>
        <v/>
      </c>
    </row>
    <row r="32" ht="15.75" customHeight="1">
      <c r="A32" s="5" t="s">
        <v>36</v>
      </c>
      <c r="B32" s="6">
        <v>0.0</v>
      </c>
      <c r="C32" s="6">
        <f>SUMIFS(Ledger!$E:$E,Ledger!$B:$B,A32,Ledger!$D:$D,"Deposit")+SUMIFS(Ledger!$E:$E,Ledger!$B:$B,A32,Ledger!$D:$D,"Reimbursement")</f>
        <v>0</v>
      </c>
      <c r="D32" s="6">
        <f>SUMIFS(Ledger!$E:$E,Ledger!$B:$B,A32,Ledger!$D:$D,"Withdrawal")</f>
        <v>0</v>
      </c>
      <c r="E32" s="6">
        <f t="shared" si="1"/>
        <v>0</v>
      </c>
      <c r="F32" s="7" t="str">
        <f>IF(COUNTIFS(Ledger!$B:$B,A32,Ledger!$C:$C,"Pack Dues")&gt;0,"✓ Paid","")</f>
        <v/>
      </c>
      <c r="G32" s="7" t="str">
        <f>IF(COUNTIFS(Ledger!$B:$B,A32,Ledger!$C:$C,"Pack Dues",Ledger!$D:$D,"Withdrawal")&gt;0,"Scout Account",IF(COUNTIFS(Ledger!$B:$B,A32,Ledger!$C:$C,"Pack Dues")&gt;0,"Family Cash",""))</f>
        <v/>
      </c>
    </row>
    <row r="33" ht="15.75" customHeight="1">
      <c r="A33" s="5" t="s">
        <v>37</v>
      </c>
      <c r="B33" s="6">
        <v>0.0</v>
      </c>
      <c r="C33" s="6">
        <f>SUMIFS(Ledger!$E:$E,Ledger!$B:$B,A33,Ledger!$D:$D,"Deposit")+SUMIFS(Ledger!$E:$E,Ledger!$B:$B,A33,Ledger!$D:$D,"Reimbursement")</f>
        <v>0</v>
      </c>
      <c r="D33" s="6">
        <f>SUMIFS(Ledger!$E:$E,Ledger!$B:$B,A33,Ledger!$D:$D,"Withdrawal")</f>
        <v>0</v>
      </c>
      <c r="E33" s="6">
        <f t="shared" si="1"/>
        <v>0</v>
      </c>
      <c r="F33" s="7" t="str">
        <f>IF(COUNTIFS(Ledger!$B:$B,A33,Ledger!$C:$C,"Pack Dues")&gt;0,"✓ Paid","")</f>
        <v/>
      </c>
      <c r="G33" s="7" t="str">
        <f>IF(COUNTIFS(Ledger!$B:$B,A33,Ledger!$C:$C,"Pack Dues",Ledger!$D:$D,"Withdrawal")&gt;0,"Scout Account",IF(COUNTIFS(Ledger!$B:$B,A33,Ledger!$C:$C,"Pack Dues")&gt;0,"Family Cash",""))</f>
        <v/>
      </c>
    </row>
    <row r="34" ht="15.75" customHeight="1">
      <c r="A34" s="5" t="s">
        <v>38</v>
      </c>
      <c r="B34" s="6">
        <v>0.0</v>
      </c>
      <c r="C34" s="6">
        <f>SUMIFS(Ledger!$E:$E,Ledger!$B:$B,A34,Ledger!$D:$D,"Deposit")+SUMIFS(Ledger!$E:$E,Ledger!$B:$B,A34,Ledger!$D:$D,"Reimbursement")</f>
        <v>0</v>
      </c>
      <c r="D34" s="6">
        <f>SUMIFS(Ledger!$E:$E,Ledger!$B:$B,A34,Ledger!$D:$D,"Withdrawal")</f>
        <v>0</v>
      </c>
      <c r="E34" s="6">
        <f t="shared" si="1"/>
        <v>0</v>
      </c>
      <c r="F34" s="7" t="str">
        <f>IF(COUNTIFS(Ledger!$B:$B,A34,Ledger!$C:$C,"Pack Dues")&gt;0,"✓ Paid","")</f>
        <v/>
      </c>
      <c r="G34" s="7" t="str">
        <f>IF(COUNTIFS(Ledger!$B:$B,A34,Ledger!$C:$C,"Pack Dues",Ledger!$D:$D,"Withdrawal")&gt;0,"Scout Account",IF(COUNTIFS(Ledger!$B:$B,A34,Ledger!$C:$C,"Pack Dues")&gt;0,"Family Cash",""))</f>
        <v/>
      </c>
    </row>
    <row r="35" ht="15.75" customHeight="1">
      <c r="A35" s="5" t="s">
        <v>39</v>
      </c>
      <c r="B35" s="6">
        <v>0.0</v>
      </c>
      <c r="C35" s="6">
        <f>SUMIFS(Ledger!$E:$E,Ledger!$B:$B,A35,Ledger!$D:$D,"Deposit")+SUMIFS(Ledger!$E:$E,Ledger!$B:$B,A35,Ledger!$D:$D,"Reimbursement")</f>
        <v>0</v>
      </c>
      <c r="D35" s="6">
        <f>SUMIFS(Ledger!$E:$E,Ledger!$B:$B,A35,Ledger!$D:$D,"Withdrawal")</f>
        <v>0</v>
      </c>
      <c r="E35" s="6">
        <f t="shared" si="1"/>
        <v>0</v>
      </c>
      <c r="F35" s="7" t="str">
        <f>IF(COUNTIFS(Ledger!$B:$B,A35,Ledger!$C:$C,"Pack Dues")&gt;0,"✓ Paid","")</f>
        <v/>
      </c>
      <c r="G35" s="7" t="str">
        <f>IF(COUNTIFS(Ledger!$B:$B,A35,Ledger!$C:$C,"Pack Dues",Ledger!$D:$D,"Withdrawal")&gt;0,"Scout Account",IF(COUNTIFS(Ledger!$B:$B,A35,Ledger!$C:$C,"Pack Dues")&gt;0,"Family Cash",""))</f>
        <v/>
      </c>
    </row>
    <row r="36" ht="15.75" customHeight="1">
      <c r="A36" s="5" t="s">
        <v>40</v>
      </c>
      <c r="B36" s="6">
        <v>0.0</v>
      </c>
      <c r="C36" s="6">
        <f>SUMIFS(Ledger!$E:$E,Ledger!$B:$B,A36,Ledger!$D:$D,"Deposit")+SUMIFS(Ledger!$E:$E,Ledger!$B:$B,A36,Ledger!$D:$D,"Reimbursement")</f>
        <v>0</v>
      </c>
      <c r="D36" s="6">
        <f>SUMIFS(Ledger!$E:$E,Ledger!$B:$B,A36,Ledger!$D:$D,"Withdrawal")</f>
        <v>0</v>
      </c>
      <c r="E36" s="6">
        <f t="shared" si="1"/>
        <v>0</v>
      </c>
      <c r="F36" s="7" t="str">
        <f>IF(COUNTIFS(Ledger!$B:$B,A36,Ledger!$C:$C,"Pack Dues")&gt;0,"✓ Paid","")</f>
        <v/>
      </c>
      <c r="G36" s="7" t="str">
        <f>IF(COUNTIFS(Ledger!$B:$B,A36,Ledger!$C:$C,"Pack Dues",Ledger!$D:$D,"Withdrawal")&gt;0,"Scout Account",IF(COUNTIFS(Ledger!$B:$B,A36,Ledger!$C:$C,"Pack Dues")&gt;0,"Family Cash",""))</f>
        <v/>
      </c>
    </row>
    <row r="37" ht="15.75" customHeight="1">
      <c r="A37" s="5" t="s">
        <v>41</v>
      </c>
      <c r="B37" s="6">
        <v>0.0</v>
      </c>
      <c r="C37" s="6">
        <f>SUMIFS(Ledger!$E:$E,Ledger!$B:$B,A37,Ledger!$D:$D,"Deposit")+SUMIFS(Ledger!$E:$E,Ledger!$B:$B,A37,Ledger!$D:$D,"Reimbursement")</f>
        <v>0</v>
      </c>
      <c r="D37" s="6">
        <f>SUMIFS(Ledger!$E:$E,Ledger!$B:$B,A37,Ledger!$D:$D,"Withdrawal")</f>
        <v>0</v>
      </c>
      <c r="E37" s="6">
        <f t="shared" si="1"/>
        <v>0</v>
      </c>
      <c r="F37" s="7" t="str">
        <f>IF(COUNTIFS(Ledger!$B:$B,A37,Ledger!$C:$C,"Pack Dues")&gt;0,"✓ Paid","")</f>
        <v/>
      </c>
      <c r="G37" s="7" t="str">
        <f>IF(COUNTIFS(Ledger!$B:$B,A37,Ledger!$C:$C,"Pack Dues",Ledger!$D:$D,"Withdrawal")&gt;0,"Scout Account",IF(COUNTIFS(Ledger!$B:$B,A37,Ledger!$C:$C,"Pack Dues")&gt;0,"Family Cash",""))</f>
        <v/>
      </c>
    </row>
    <row r="38" ht="15.75" customHeight="1">
      <c r="A38" s="5" t="s">
        <v>42</v>
      </c>
      <c r="B38" s="6">
        <v>0.0</v>
      </c>
      <c r="C38" s="6">
        <f>SUMIFS(Ledger!$E:$E,Ledger!$B:$B,A38,Ledger!$D:$D,"Deposit")+SUMIFS(Ledger!$E:$E,Ledger!$B:$B,A38,Ledger!$D:$D,"Reimbursement")</f>
        <v>0</v>
      </c>
      <c r="D38" s="6">
        <f>SUMIFS(Ledger!$E:$E,Ledger!$B:$B,A38,Ledger!$D:$D,"Withdrawal")</f>
        <v>0</v>
      </c>
      <c r="E38" s="6">
        <f t="shared" si="1"/>
        <v>0</v>
      </c>
      <c r="F38" s="7" t="str">
        <f>IF(COUNTIFS(Ledger!$B:$B,A38,Ledger!$C:$C,"Pack Dues")&gt;0,"✓ Paid","")</f>
        <v/>
      </c>
      <c r="G38" s="7" t="str">
        <f>IF(COUNTIFS(Ledger!$B:$B,A38,Ledger!$C:$C,"Pack Dues",Ledger!$D:$D,"Withdrawal")&gt;0,"Scout Account",IF(COUNTIFS(Ledger!$B:$B,A38,Ledger!$C:$C,"Pack Dues")&gt;0,"Family Cash",""))</f>
        <v/>
      </c>
    </row>
    <row r="39" ht="15.75" customHeight="1">
      <c r="A39" s="5" t="s">
        <v>43</v>
      </c>
      <c r="B39" s="6">
        <v>0.0</v>
      </c>
      <c r="C39" s="6">
        <f>SUMIFS(Ledger!$E:$E,Ledger!$B:$B,A39,Ledger!$D:$D,"Deposit")+SUMIFS(Ledger!$E:$E,Ledger!$B:$B,A39,Ledger!$D:$D,"Reimbursement")</f>
        <v>0</v>
      </c>
      <c r="D39" s="6">
        <f>SUMIFS(Ledger!$E:$E,Ledger!$B:$B,A39,Ledger!$D:$D,"Withdrawal")</f>
        <v>0</v>
      </c>
      <c r="E39" s="6">
        <f t="shared" si="1"/>
        <v>0</v>
      </c>
      <c r="F39" s="7" t="str">
        <f>IF(COUNTIFS(Ledger!$B:$B,A39,Ledger!$C:$C,"Pack Dues")&gt;0,"✓ Paid","")</f>
        <v/>
      </c>
      <c r="G39" s="7" t="str">
        <f>IF(COUNTIFS(Ledger!$B:$B,A39,Ledger!$C:$C,"Pack Dues",Ledger!$D:$D,"Withdrawal")&gt;0,"Scout Account",IF(COUNTIFS(Ledger!$B:$B,A39,Ledger!$C:$C,"Pack Dues")&gt;0,"Family Cash",""))</f>
        <v/>
      </c>
    </row>
    <row r="40" ht="15.75" customHeight="1">
      <c r="A40" s="5" t="s">
        <v>44</v>
      </c>
      <c r="B40" s="6">
        <v>0.0</v>
      </c>
      <c r="C40" s="6">
        <f>SUMIFS(Ledger!$E:$E,Ledger!$B:$B,A40,Ledger!$D:$D,"Deposit")+SUMIFS(Ledger!$E:$E,Ledger!$B:$B,A40,Ledger!$D:$D,"Reimbursement")</f>
        <v>0</v>
      </c>
      <c r="D40" s="6">
        <f>SUMIFS(Ledger!$E:$E,Ledger!$B:$B,A40,Ledger!$D:$D,"Withdrawal")</f>
        <v>0</v>
      </c>
      <c r="E40" s="6">
        <f t="shared" si="1"/>
        <v>0</v>
      </c>
      <c r="F40" s="7" t="str">
        <f>IF(COUNTIFS(Ledger!$B:$B,A40,Ledger!$C:$C,"Pack Dues")&gt;0,"✓ Paid","")</f>
        <v/>
      </c>
      <c r="G40" s="7" t="str">
        <f>IF(COUNTIFS(Ledger!$B:$B,A40,Ledger!$C:$C,"Pack Dues",Ledger!$D:$D,"Withdrawal")&gt;0,"Scout Account",IF(COUNTIFS(Ledger!$B:$B,A40,Ledger!$C:$C,"Pack Dues")&gt;0,"Family Cash",""))</f>
        <v/>
      </c>
    </row>
    <row r="41" ht="15.75" customHeight="1">
      <c r="A41" s="5" t="s">
        <v>45</v>
      </c>
      <c r="B41" s="6">
        <v>0.0</v>
      </c>
      <c r="C41" s="6">
        <f>SUMIFS(Ledger!$E:$E,Ledger!$B:$B,A41,Ledger!$D:$D,"Deposit")+SUMIFS(Ledger!$E:$E,Ledger!$B:$B,A41,Ledger!$D:$D,"Reimbursement")</f>
        <v>0</v>
      </c>
      <c r="D41" s="6">
        <f>SUMIFS(Ledger!$E:$E,Ledger!$B:$B,A41,Ledger!$D:$D,"Withdrawal")</f>
        <v>0</v>
      </c>
      <c r="E41" s="6">
        <f t="shared" si="1"/>
        <v>0</v>
      </c>
      <c r="F41" s="7" t="str">
        <f>IF(COUNTIFS(Ledger!$B:$B,A41,Ledger!$C:$C,"Pack Dues")&gt;0,"✓ Paid","")</f>
        <v/>
      </c>
      <c r="G41" s="7" t="str">
        <f>IF(COUNTIFS(Ledger!$B:$B,A41,Ledger!$C:$C,"Pack Dues",Ledger!$D:$D,"Withdrawal")&gt;0,"Scout Account",IF(COUNTIFS(Ledger!$B:$B,A41,Ledger!$C:$C,"Pack Dues")&gt;0,"Family Cash",""))</f>
        <v/>
      </c>
    </row>
    <row r="42" ht="15.75" customHeight="1">
      <c r="A42" s="5" t="s">
        <v>46</v>
      </c>
      <c r="B42" s="6">
        <v>0.0</v>
      </c>
      <c r="C42" s="6">
        <f>SUMIFS(Ledger!$E:$E,Ledger!$B:$B,A42,Ledger!$D:$D,"Deposit")+SUMIFS(Ledger!$E:$E,Ledger!$B:$B,A42,Ledger!$D:$D,"Reimbursement")</f>
        <v>0</v>
      </c>
      <c r="D42" s="6">
        <f>SUMIFS(Ledger!$E:$E,Ledger!$B:$B,A42,Ledger!$D:$D,"Withdrawal")</f>
        <v>0</v>
      </c>
      <c r="E42" s="6">
        <f t="shared" si="1"/>
        <v>0</v>
      </c>
      <c r="F42" s="7" t="str">
        <f>IF(COUNTIFS(Ledger!$B:$B,A42,Ledger!$C:$C,"Pack Dues")&gt;0,"✓ Paid","")</f>
        <v/>
      </c>
      <c r="G42" s="7" t="str">
        <f>IF(COUNTIFS(Ledger!$B:$B,A42,Ledger!$C:$C,"Pack Dues",Ledger!$D:$D,"Withdrawal")&gt;0,"Scout Account",IF(COUNTIFS(Ledger!$B:$B,A42,Ledger!$C:$C,"Pack Dues")&gt;0,"Family Cash",""))</f>
        <v/>
      </c>
    </row>
    <row r="43" ht="15.75" customHeight="1">
      <c r="A43" s="5" t="s">
        <v>47</v>
      </c>
      <c r="B43" s="6">
        <v>0.0</v>
      </c>
      <c r="C43" s="6">
        <f>SUMIFS(Ledger!$E:$E,Ledger!$B:$B,A43,Ledger!$D:$D,"Deposit")+SUMIFS(Ledger!$E:$E,Ledger!$B:$B,A43,Ledger!$D:$D,"Reimbursement")</f>
        <v>0</v>
      </c>
      <c r="D43" s="6">
        <f>SUMIFS(Ledger!$E:$E,Ledger!$B:$B,A43,Ledger!$D:$D,"Withdrawal")</f>
        <v>0</v>
      </c>
      <c r="E43" s="6">
        <f t="shared" si="1"/>
        <v>0</v>
      </c>
      <c r="F43" s="7" t="str">
        <f>IF(COUNTIFS(Ledger!$B:$B,A43,Ledger!$C:$C,"Pack Dues")&gt;0,"✓ Paid","")</f>
        <v/>
      </c>
      <c r="G43" s="7" t="str">
        <f>IF(COUNTIFS(Ledger!$B:$B,A43,Ledger!$C:$C,"Pack Dues",Ledger!$D:$D,"Withdrawal")&gt;0,"Scout Account",IF(COUNTIFS(Ledger!$B:$B,A43,Ledger!$C:$C,"Pack Dues")&gt;0,"Family Cash",""))</f>
        <v/>
      </c>
    </row>
    <row r="44" ht="15.75" customHeight="1">
      <c r="A44" s="5" t="s">
        <v>48</v>
      </c>
      <c r="B44" s="6">
        <v>0.0</v>
      </c>
      <c r="C44" s="6">
        <f>SUMIFS(Ledger!$E:$E,Ledger!$B:$B,A44,Ledger!$D:$D,"Deposit")+SUMIFS(Ledger!$E:$E,Ledger!$B:$B,A44,Ledger!$D:$D,"Reimbursement")</f>
        <v>0</v>
      </c>
      <c r="D44" s="6">
        <f>SUMIFS(Ledger!$E:$E,Ledger!$B:$B,A44,Ledger!$D:$D,"Withdrawal")</f>
        <v>0</v>
      </c>
      <c r="E44" s="6">
        <f t="shared" si="1"/>
        <v>0</v>
      </c>
      <c r="F44" s="7" t="str">
        <f>IF(COUNTIFS(Ledger!$B:$B,A44,Ledger!$C:$C,"Pack Dues")&gt;0,"✓ Paid","")</f>
        <v/>
      </c>
      <c r="G44" s="7" t="str">
        <f>IF(COUNTIFS(Ledger!$B:$B,A44,Ledger!$C:$C,"Pack Dues",Ledger!$D:$D,"Withdrawal")&gt;0,"Scout Account",IF(COUNTIFS(Ledger!$B:$B,A44,Ledger!$C:$C,"Pack Dues")&gt;0,"Family Cash",""))</f>
        <v/>
      </c>
    </row>
    <row r="45" ht="15.75" customHeight="1">
      <c r="A45" s="5" t="s">
        <v>49</v>
      </c>
      <c r="B45" s="6">
        <v>0.0</v>
      </c>
      <c r="C45" s="6">
        <f>SUMIFS(Ledger!$E:$E,Ledger!$B:$B,A45,Ledger!$D:$D,"Deposit")+SUMIFS(Ledger!$E:$E,Ledger!$B:$B,A45,Ledger!$D:$D,"Reimbursement")</f>
        <v>0</v>
      </c>
      <c r="D45" s="6">
        <f>SUMIFS(Ledger!$E:$E,Ledger!$B:$B,A45,Ledger!$D:$D,"Withdrawal")</f>
        <v>0</v>
      </c>
      <c r="E45" s="6">
        <f t="shared" si="1"/>
        <v>0</v>
      </c>
      <c r="F45" s="7" t="str">
        <f>IF(COUNTIFS(Ledger!$B:$B,A45,Ledger!$C:$C,"Pack Dues")&gt;0,"✓ Paid","")</f>
        <v/>
      </c>
      <c r="G45" s="7" t="str">
        <f>IF(COUNTIFS(Ledger!$B:$B,A45,Ledger!$C:$C,"Pack Dues",Ledger!$D:$D,"Withdrawal")&gt;0,"Scout Account",IF(COUNTIFS(Ledger!$B:$B,A45,Ledger!$C:$C,"Pack Dues")&gt;0,"Family Cash",""))</f>
        <v/>
      </c>
    </row>
    <row r="46" ht="15.75" customHeight="1">
      <c r="A46" s="5" t="s">
        <v>50</v>
      </c>
      <c r="B46" s="6">
        <v>0.0</v>
      </c>
      <c r="C46" s="6">
        <f>SUMIFS(Ledger!$E:$E,Ledger!$B:$B,A46,Ledger!$D:$D,"Deposit")+SUMIFS(Ledger!$E:$E,Ledger!$B:$B,A46,Ledger!$D:$D,"Reimbursement")</f>
        <v>0</v>
      </c>
      <c r="D46" s="6">
        <f>SUMIFS(Ledger!$E:$E,Ledger!$B:$B,A46,Ledger!$D:$D,"Withdrawal")</f>
        <v>0</v>
      </c>
      <c r="E46" s="6">
        <f t="shared" si="1"/>
        <v>0</v>
      </c>
      <c r="F46" s="7" t="str">
        <f>IF(COUNTIFS(Ledger!$B:$B,A46,Ledger!$C:$C,"Pack Dues")&gt;0,"✓ Paid","")</f>
        <v/>
      </c>
      <c r="G46" s="7" t="str">
        <f>IF(COUNTIFS(Ledger!$B:$B,A46,Ledger!$C:$C,"Pack Dues",Ledger!$D:$D,"Withdrawal")&gt;0,"Scout Account",IF(COUNTIFS(Ledger!$B:$B,A46,Ledger!$C:$C,"Pack Dues")&gt;0,"Family Cash",""))</f>
        <v/>
      </c>
    </row>
    <row r="47" ht="15.75" customHeight="1"/>
    <row r="48" ht="15.75" customHeight="1">
      <c r="A48" s="8" t="s">
        <v>51</v>
      </c>
      <c r="B48" s="9">
        <f t="shared" ref="B48:E48" si="2">SUM(B7:B46)</f>
        <v>0</v>
      </c>
      <c r="C48" s="9">
        <f t="shared" si="2"/>
        <v>525</v>
      </c>
      <c r="D48" s="9">
        <f t="shared" si="2"/>
        <v>300</v>
      </c>
      <c r="E48" s="10">
        <f t="shared" si="2"/>
        <v>225</v>
      </c>
    </row>
    <row r="49" ht="15.75" customHeight="1"/>
    <row r="50" ht="15.75" customHeight="1">
      <c r="A50" s="8" t="s">
        <v>52</v>
      </c>
    </row>
    <row r="51" ht="15.75" customHeight="1">
      <c r="A51" s="5" t="s">
        <v>53</v>
      </c>
      <c r="B51" s="8">
        <f>COUNTIF(G7:G46,"Scout Account")</f>
        <v>0</v>
      </c>
    </row>
    <row r="52" ht="15.75" customHeight="1">
      <c r="A52" s="5" t="s">
        <v>54</v>
      </c>
      <c r="B52" s="8">
        <f>COUNTIF(G7:G46,"Family Cash")</f>
        <v>1</v>
      </c>
    </row>
    <row r="53" ht="15.75" customHeight="1">
      <c r="A53" s="5" t="s">
        <v>55</v>
      </c>
      <c r="B53" s="11">
        <f>40-B51-B52</f>
        <v>39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3:H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0.0"/>
    <col customWidth="1" min="3" max="3" width="28.0"/>
    <col customWidth="1" min="4" max="4" width="18.0"/>
    <col customWidth="1" min="5" max="5" width="12.0"/>
    <col customWidth="1" min="6" max="6" width="16.0"/>
    <col customWidth="1" min="7" max="7" width="40.0"/>
    <col customWidth="1" min="8" max="26" width="8.71"/>
  </cols>
  <sheetData>
    <row r="1">
      <c r="A1" s="1" t="s">
        <v>56</v>
      </c>
    </row>
    <row r="3">
      <c r="A3" s="12" t="s">
        <v>57</v>
      </c>
    </row>
    <row r="5">
      <c r="A5" s="13" t="s">
        <v>58</v>
      </c>
      <c r="B5" s="13" t="s">
        <v>3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10</v>
      </c>
    </row>
    <row r="6">
      <c r="A6" s="5" t="s">
        <v>63</v>
      </c>
      <c r="B6" s="5" t="s">
        <v>11</v>
      </c>
      <c r="C6" s="5" t="s">
        <v>64</v>
      </c>
      <c r="D6" s="14" t="s">
        <v>65</v>
      </c>
      <c r="E6" s="6">
        <v>200.0</v>
      </c>
      <c r="F6" s="6">
        <f>IF(OR(D6="Deposit",D6="Reimbursement"),E6*0.25,0)</f>
        <v>50</v>
      </c>
      <c r="G6" s="5" t="s">
        <v>66</v>
      </c>
    </row>
    <row r="7">
      <c r="A7" s="5" t="s">
        <v>63</v>
      </c>
      <c r="B7" s="5" t="s">
        <v>12</v>
      </c>
      <c r="C7" s="5" t="s">
        <v>67</v>
      </c>
      <c r="D7" s="15" t="s">
        <v>68</v>
      </c>
      <c r="E7" s="6">
        <v>100.0</v>
      </c>
      <c r="G7" s="5" t="s">
        <v>69</v>
      </c>
    </row>
    <row r="8">
      <c r="A8" s="5" t="s">
        <v>70</v>
      </c>
      <c r="B8" s="5" t="s">
        <v>12</v>
      </c>
      <c r="C8" s="5" t="s">
        <v>71</v>
      </c>
      <c r="D8" s="14" t="s">
        <v>65</v>
      </c>
      <c r="E8" s="6">
        <v>150.0</v>
      </c>
      <c r="F8" s="6">
        <f t="shared" ref="F8:F9" si="1">IF(OR(D7="Deposit",D7="Reimbursement"),E7*0.25,0)</f>
        <v>0</v>
      </c>
      <c r="G8" s="5" t="s">
        <v>72</v>
      </c>
    </row>
    <row r="9">
      <c r="A9" s="5" t="s">
        <v>73</v>
      </c>
      <c r="B9" s="5" t="s">
        <v>12</v>
      </c>
      <c r="C9" s="5" t="s">
        <v>74</v>
      </c>
      <c r="D9" s="16" t="s">
        <v>75</v>
      </c>
      <c r="E9" s="6">
        <v>100.0</v>
      </c>
      <c r="F9" s="6">
        <f t="shared" si="1"/>
        <v>37.5</v>
      </c>
      <c r="G9" s="5" t="s">
        <v>76</v>
      </c>
    </row>
    <row r="10">
      <c r="A10" s="5" t="s">
        <v>77</v>
      </c>
      <c r="B10" s="5" t="s">
        <v>13</v>
      </c>
      <c r="C10" s="5" t="s">
        <v>78</v>
      </c>
      <c r="D10" s="17" t="s">
        <v>79</v>
      </c>
      <c r="E10" s="6">
        <v>300.0</v>
      </c>
      <c r="G10" s="5" t="s">
        <v>80</v>
      </c>
    </row>
    <row r="11">
      <c r="A11" s="5" t="s">
        <v>81</v>
      </c>
      <c r="B11" s="5" t="s">
        <v>14</v>
      </c>
      <c r="C11" s="5" t="s">
        <v>82</v>
      </c>
      <c r="D11" s="14" t="s">
        <v>65</v>
      </c>
      <c r="E11" s="6">
        <v>75.0</v>
      </c>
      <c r="F11" s="6">
        <f>IF(OR(D10="Deposit",D10="Reimbursement"),E10*0.25,0)</f>
        <v>0</v>
      </c>
      <c r="G11" s="5" t="s">
        <v>83</v>
      </c>
    </row>
    <row r="12">
      <c r="G12" s="5" t="s">
        <v>84</v>
      </c>
    </row>
    <row r="13">
      <c r="A13" s="18"/>
      <c r="E13" s="6"/>
      <c r="F13" s="6">
        <f t="shared" ref="F13:F212" si="2">IF(OR(D13="Deposit",D13="Reimbursement"),E13*0.25,0)</f>
        <v>0</v>
      </c>
    </row>
    <row r="14">
      <c r="A14" s="18"/>
      <c r="E14" s="6"/>
      <c r="F14" s="6">
        <f t="shared" si="2"/>
        <v>0</v>
      </c>
    </row>
    <row r="15">
      <c r="A15" s="18"/>
      <c r="E15" s="6"/>
      <c r="F15" s="6">
        <f t="shared" si="2"/>
        <v>0</v>
      </c>
    </row>
    <row r="16">
      <c r="A16" s="18"/>
      <c r="E16" s="6"/>
      <c r="F16" s="6">
        <f t="shared" si="2"/>
        <v>0</v>
      </c>
    </row>
    <row r="17">
      <c r="A17" s="18"/>
      <c r="E17" s="6"/>
      <c r="F17" s="6">
        <f t="shared" si="2"/>
        <v>0</v>
      </c>
    </row>
    <row r="18">
      <c r="A18" s="18"/>
      <c r="E18" s="6"/>
      <c r="F18" s="6">
        <f t="shared" si="2"/>
        <v>0</v>
      </c>
    </row>
    <row r="19">
      <c r="A19" s="18"/>
      <c r="E19" s="6"/>
      <c r="F19" s="6">
        <f t="shared" si="2"/>
        <v>0</v>
      </c>
    </row>
    <row r="20" ht="15.75" customHeight="1">
      <c r="A20" s="18"/>
      <c r="E20" s="6"/>
      <c r="F20" s="6">
        <f t="shared" si="2"/>
        <v>0</v>
      </c>
    </row>
    <row r="21" ht="15.75" customHeight="1">
      <c r="A21" s="18"/>
      <c r="E21" s="6"/>
      <c r="F21" s="6">
        <f t="shared" si="2"/>
        <v>0</v>
      </c>
    </row>
    <row r="22" ht="15.75" customHeight="1">
      <c r="A22" s="18"/>
      <c r="E22" s="6"/>
      <c r="F22" s="6">
        <f t="shared" si="2"/>
        <v>0</v>
      </c>
    </row>
    <row r="23" ht="15.75" customHeight="1">
      <c r="A23" s="18"/>
      <c r="E23" s="6"/>
      <c r="F23" s="6">
        <f t="shared" si="2"/>
        <v>0</v>
      </c>
    </row>
    <row r="24" ht="15.75" customHeight="1">
      <c r="A24" s="18"/>
      <c r="E24" s="6"/>
      <c r="F24" s="6">
        <f t="shared" si="2"/>
        <v>0</v>
      </c>
    </row>
    <row r="25" ht="15.75" customHeight="1">
      <c r="A25" s="18"/>
      <c r="E25" s="6"/>
      <c r="F25" s="6">
        <f t="shared" si="2"/>
        <v>0</v>
      </c>
    </row>
    <row r="26" ht="15.75" customHeight="1">
      <c r="A26" s="18"/>
      <c r="E26" s="6"/>
      <c r="F26" s="6">
        <f t="shared" si="2"/>
        <v>0</v>
      </c>
    </row>
    <row r="27" ht="15.75" customHeight="1">
      <c r="A27" s="18"/>
      <c r="E27" s="6"/>
      <c r="F27" s="6">
        <f t="shared" si="2"/>
        <v>0</v>
      </c>
    </row>
    <row r="28" ht="15.75" customHeight="1">
      <c r="A28" s="18"/>
      <c r="E28" s="6"/>
      <c r="F28" s="6">
        <f t="shared" si="2"/>
        <v>0</v>
      </c>
    </row>
    <row r="29" ht="15.75" customHeight="1">
      <c r="A29" s="18"/>
      <c r="E29" s="6"/>
      <c r="F29" s="6">
        <f t="shared" si="2"/>
        <v>0</v>
      </c>
    </row>
    <row r="30" ht="15.75" customHeight="1">
      <c r="A30" s="18"/>
      <c r="E30" s="6"/>
      <c r="F30" s="6">
        <f t="shared" si="2"/>
        <v>0</v>
      </c>
    </row>
    <row r="31" ht="15.75" customHeight="1">
      <c r="A31" s="18"/>
      <c r="E31" s="6"/>
      <c r="F31" s="6">
        <f t="shared" si="2"/>
        <v>0</v>
      </c>
    </row>
    <row r="32" ht="15.75" customHeight="1">
      <c r="A32" s="18"/>
      <c r="E32" s="6"/>
      <c r="F32" s="6">
        <f t="shared" si="2"/>
        <v>0</v>
      </c>
    </row>
    <row r="33" ht="15.75" customHeight="1">
      <c r="A33" s="18"/>
      <c r="E33" s="6"/>
      <c r="F33" s="6">
        <f t="shared" si="2"/>
        <v>0</v>
      </c>
    </row>
    <row r="34" ht="15.75" customHeight="1">
      <c r="A34" s="18"/>
      <c r="E34" s="6"/>
      <c r="F34" s="6">
        <f t="shared" si="2"/>
        <v>0</v>
      </c>
    </row>
    <row r="35" ht="15.75" customHeight="1">
      <c r="A35" s="18"/>
      <c r="E35" s="6"/>
      <c r="F35" s="6">
        <f t="shared" si="2"/>
        <v>0</v>
      </c>
    </row>
    <row r="36" ht="15.75" customHeight="1">
      <c r="A36" s="18"/>
      <c r="E36" s="6"/>
      <c r="F36" s="6">
        <f t="shared" si="2"/>
        <v>0</v>
      </c>
    </row>
    <row r="37" ht="15.75" customHeight="1">
      <c r="A37" s="18"/>
      <c r="E37" s="6"/>
      <c r="F37" s="6">
        <f t="shared" si="2"/>
        <v>0</v>
      </c>
    </row>
    <row r="38" ht="15.75" customHeight="1">
      <c r="A38" s="18"/>
      <c r="E38" s="6"/>
      <c r="F38" s="6">
        <f t="shared" si="2"/>
        <v>0</v>
      </c>
    </row>
    <row r="39" ht="15.75" customHeight="1">
      <c r="A39" s="18"/>
      <c r="E39" s="6"/>
      <c r="F39" s="6">
        <f t="shared" si="2"/>
        <v>0</v>
      </c>
    </row>
    <row r="40" ht="15.75" customHeight="1">
      <c r="A40" s="18"/>
      <c r="E40" s="6"/>
      <c r="F40" s="6">
        <f t="shared" si="2"/>
        <v>0</v>
      </c>
    </row>
    <row r="41" ht="15.75" customHeight="1">
      <c r="A41" s="18"/>
      <c r="E41" s="6"/>
      <c r="F41" s="6">
        <f t="shared" si="2"/>
        <v>0</v>
      </c>
    </row>
    <row r="42" ht="15.75" customHeight="1">
      <c r="A42" s="18"/>
      <c r="E42" s="6"/>
      <c r="F42" s="6">
        <f t="shared" si="2"/>
        <v>0</v>
      </c>
    </row>
    <row r="43" ht="15.75" customHeight="1">
      <c r="A43" s="18"/>
      <c r="E43" s="6"/>
      <c r="F43" s="6">
        <f t="shared" si="2"/>
        <v>0</v>
      </c>
    </row>
    <row r="44" ht="15.75" customHeight="1">
      <c r="A44" s="18"/>
      <c r="E44" s="6"/>
      <c r="F44" s="6">
        <f t="shared" si="2"/>
        <v>0</v>
      </c>
    </row>
    <row r="45" ht="15.75" customHeight="1">
      <c r="A45" s="18"/>
      <c r="E45" s="6"/>
      <c r="F45" s="6">
        <f t="shared" si="2"/>
        <v>0</v>
      </c>
    </row>
    <row r="46" ht="15.75" customHeight="1">
      <c r="A46" s="18"/>
      <c r="E46" s="6"/>
      <c r="F46" s="6">
        <f t="shared" si="2"/>
        <v>0</v>
      </c>
    </row>
    <row r="47" ht="15.75" customHeight="1">
      <c r="A47" s="18"/>
      <c r="E47" s="6"/>
      <c r="F47" s="6">
        <f t="shared" si="2"/>
        <v>0</v>
      </c>
    </row>
    <row r="48" ht="15.75" customHeight="1">
      <c r="A48" s="18"/>
      <c r="E48" s="6"/>
      <c r="F48" s="6">
        <f t="shared" si="2"/>
        <v>0</v>
      </c>
    </row>
    <row r="49" ht="15.75" customHeight="1">
      <c r="A49" s="18"/>
      <c r="E49" s="6"/>
      <c r="F49" s="6">
        <f t="shared" si="2"/>
        <v>0</v>
      </c>
    </row>
    <row r="50" ht="15.75" customHeight="1">
      <c r="A50" s="18"/>
      <c r="E50" s="6"/>
      <c r="F50" s="6">
        <f t="shared" si="2"/>
        <v>0</v>
      </c>
    </row>
    <row r="51" ht="15.75" customHeight="1">
      <c r="A51" s="18"/>
      <c r="E51" s="6"/>
      <c r="F51" s="6">
        <f t="shared" si="2"/>
        <v>0</v>
      </c>
    </row>
    <row r="52" ht="15.75" customHeight="1">
      <c r="A52" s="18"/>
      <c r="E52" s="6"/>
      <c r="F52" s="6">
        <f t="shared" si="2"/>
        <v>0</v>
      </c>
    </row>
    <row r="53" ht="15.75" customHeight="1">
      <c r="A53" s="18"/>
      <c r="E53" s="6"/>
      <c r="F53" s="6">
        <f t="shared" si="2"/>
        <v>0</v>
      </c>
    </row>
    <row r="54" ht="15.75" customHeight="1">
      <c r="A54" s="18"/>
      <c r="E54" s="6"/>
      <c r="F54" s="6">
        <f t="shared" si="2"/>
        <v>0</v>
      </c>
    </row>
    <row r="55" ht="15.75" customHeight="1">
      <c r="A55" s="18"/>
      <c r="E55" s="6"/>
      <c r="F55" s="6">
        <f t="shared" si="2"/>
        <v>0</v>
      </c>
    </row>
    <row r="56" ht="15.75" customHeight="1">
      <c r="A56" s="18"/>
      <c r="E56" s="6"/>
      <c r="F56" s="6">
        <f t="shared" si="2"/>
        <v>0</v>
      </c>
    </row>
    <row r="57" ht="15.75" customHeight="1">
      <c r="A57" s="18"/>
      <c r="E57" s="6"/>
      <c r="F57" s="6">
        <f t="shared" si="2"/>
        <v>0</v>
      </c>
    </row>
    <row r="58" ht="15.75" customHeight="1">
      <c r="A58" s="18"/>
      <c r="E58" s="6"/>
      <c r="F58" s="6">
        <f t="shared" si="2"/>
        <v>0</v>
      </c>
    </row>
    <row r="59" ht="15.75" customHeight="1">
      <c r="A59" s="18"/>
      <c r="E59" s="6"/>
      <c r="F59" s="6">
        <f t="shared" si="2"/>
        <v>0</v>
      </c>
    </row>
    <row r="60" ht="15.75" customHeight="1">
      <c r="A60" s="18"/>
      <c r="E60" s="6"/>
      <c r="F60" s="6">
        <f t="shared" si="2"/>
        <v>0</v>
      </c>
    </row>
    <row r="61" ht="15.75" customHeight="1">
      <c r="A61" s="18"/>
      <c r="E61" s="6"/>
      <c r="F61" s="6">
        <f t="shared" si="2"/>
        <v>0</v>
      </c>
    </row>
    <row r="62" ht="15.75" customHeight="1">
      <c r="A62" s="18"/>
      <c r="E62" s="6"/>
      <c r="F62" s="6">
        <f t="shared" si="2"/>
        <v>0</v>
      </c>
    </row>
    <row r="63" ht="15.75" customHeight="1">
      <c r="A63" s="18"/>
      <c r="E63" s="6"/>
      <c r="F63" s="6">
        <f t="shared" si="2"/>
        <v>0</v>
      </c>
    </row>
    <row r="64" ht="15.75" customHeight="1">
      <c r="A64" s="18"/>
      <c r="E64" s="6"/>
      <c r="F64" s="6">
        <f t="shared" si="2"/>
        <v>0</v>
      </c>
    </row>
    <row r="65" ht="15.75" customHeight="1">
      <c r="A65" s="18"/>
      <c r="E65" s="6"/>
      <c r="F65" s="6">
        <f t="shared" si="2"/>
        <v>0</v>
      </c>
    </row>
    <row r="66" ht="15.75" customHeight="1">
      <c r="A66" s="18"/>
      <c r="E66" s="6"/>
      <c r="F66" s="6">
        <f t="shared" si="2"/>
        <v>0</v>
      </c>
    </row>
    <row r="67" ht="15.75" customHeight="1">
      <c r="A67" s="18"/>
      <c r="E67" s="6"/>
      <c r="F67" s="6">
        <f t="shared" si="2"/>
        <v>0</v>
      </c>
    </row>
    <row r="68" ht="15.75" customHeight="1">
      <c r="A68" s="18"/>
      <c r="E68" s="6"/>
      <c r="F68" s="6">
        <f t="shared" si="2"/>
        <v>0</v>
      </c>
    </row>
    <row r="69" ht="15.75" customHeight="1">
      <c r="A69" s="18"/>
      <c r="E69" s="6"/>
      <c r="F69" s="6">
        <f t="shared" si="2"/>
        <v>0</v>
      </c>
    </row>
    <row r="70" ht="15.75" customHeight="1">
      <c r="A70" s="18"/>
      <c r="E70" s="6"/>
      <c r="F70" s="6">
        <f t="shared" si="2"/>
        <v>0</v>
      </c>
    </row>
    <row r="71" ht="15.75" customHeight="1">
      <c r="A71" s="18"/>
      <c r="E71" s="6"/>
      <c r="F71" s="6">
        <f t="shared" si="2"/>
        <v>0</v>
      </c>
    </row>
    <row r="72" ht="15.75" customHeight="1">
      <c r="A72" s="18"/>
      <c r="E72" s="6"/>
      <c r="F72" s="6">
        <f t="shared" si="2"/>
        <v>0</v>
      </c>
    </row>
    <row r="73" ht="15.75" customHeight="1">
      <c r="A73" s="18"/>
      <c r="E73" s="6"/>
      <c r="F73" s="6">
        <f t="shared" si="2"/>
        <v>0</v>
      </c>
    </row>
    <row r="74" ht="15.75" customHeight="1">
      <c r="A74" s="18"/>
      <c r="E74" s="6"/>
      <c r="F74" s="6">
        <f t="shared" si="2"/>
        <v>0</v>
      </c>
    </row>
    <row r="75" ht="15.75" customHeight="1">
      <c r="A75" s="18"/>
      <c r="E75" s="6"/>
      <c r="F75" s="6">
        <f t="shared" si="2"/>
        <v>0</v>
      </c>
    </row>
    <row r="76" ht="15.75" customHeight="1">
      <c r="A76" s="18"/>
      <c r="E76" s="6"/>
      <c r="F76" s="6">
        <f t="shared" si="2"/>
        <v>0</v>
      </c>
    </row>
    <row r="77" ht="15.75" customHeight="1">
      <c r="A77" s="18"/>
      <c r="E77" s="6"/>
      <c r="F77" s="6">
        <f t="shared" si="2"/>
        <v>0</v>
      </c>
    </row>
    <row r="78" ht="15.75" customHeight="1">
      <c r="A78" s="18"/>
      <c r="E78" s="6"/>
      <c r="F78" s="6">
        <f t="shared" si="2"/>
        <v>0</v>
      </c>
    </row>
    <row r="79" ht="15.75" customHeight="1">
      <c r="A79" s="18"/>
      <c r="E79" s="6"/>
      <c r="F79" s="6">
        <f t="shared" si="2"/>
        <v>0</v>
      </c>
    </row>
    <row r="80" ht="15.75" customHeight="1">
      <c r="A80" s="18"/>
      <c r="E80" s="6"/>
      <c r="F80" s="6">
        <f t="shared" si="2"/>
        <v>0</v>
      </c>
    </row>
    <row r="81" ht="15.75" customHeight="1">
      <c r="A81" s="18"/>
      <c r="E81" s="6"/>
      <c r="F81" s="6">
        <f t="shared" si="2"/>
        <v>0</v>
      </c>
    </row>
    <row r="82" ht="15.75" customHeight="1">
      <c r="A82" s="18"/>
      <c r="E82" s="6"/>
      <c r="F82" s="6">
        <f t="shared" si="2"/>
        <v>0</v>
      </c>
    </row>
    <row r="83" ht="15.75" customHeight="1">
      <c r="A83" s="18"/>
      <c r="E83" s="6"/>
      <c r="F83" s="6">
        <f t="shared" si="2"/>
        <v>0</v>
      </c>
    </row>
    <row r="84" ht="15.75" customHeight="1">
      <c r="A84" s="18"/>
      <c r="E84" s="6"/>
      <c r="F84" s="6">
        <f t="shared" si="2"/>
        <v>0</v>
      </c>
    </row>
    <row r="85" ht="15.75" customHeight="1">
      <c r="A85" s="18"/>
      <c r="E85" s="6"/>
      <c r="F85" s="6">
        <f t="shared" si="2"/>
        <v>0</v>
      </c>
    </row>
    <row r="86" ht="15.75" customHeight="1">
      <c r="A86" s="18"/>
      <c r="E86" s="6"/>
      <c r="F86" s="6">
        <f t="shared" si="2"/>
        <v>0</v>
      </c>
    </row>
    <row r="87" ht="15.75" customHeight="1">
      <c r="A87" s="18"/>
      <c r="E87" s="6"/>
      <c r="F87" s="6">
        <f t="shared" si="2"/>
        <v>0</v>
      </c>
    </row>
    <row r="88" ht="15.75" customHeight="1">
      <c r="A88" s="18"/>
      <c r="E88" s="6"/>
      <c r="F88" s="6">
        <f t="shared" si="2"/>
        <v>0</v>
      </c>
    </row>
    <row r="89" ht="15.75" customHeight="1">
      <c r="A89" s="18"/>
      <c r="E89" s="6"/>
      <c r="F89" s="6">
        <f t="shared" si="2"/>
        <v>0</v>
      </c>
    </row>
    <row r="90" ht="15.75" customHeight="1">
      <c r="A90" s="18"/>
      <c r="E90" s="6"/>
      <c r="F90" s="6">
        <f t="shared" si="2"/>
        <v>0</v>
      </c>
    </row>
    <row r="91" ht="15.75" customHeight="1">
      <c r="A91" s="18"/>
      <c r="E91" s="6"/>
      <c r="F91" s="6">
        <f t="shared" si="2"/>
        <v>0</v>
      </c>
    </row>
    <row r="92" ht="15.75" customHeight="1">
      <c r="A92" s="18"/>
      <c r="E92" s="6"/>
      <c r="F92" s="6">
        <f t="shared" si="2"/>
        <v>0</v>
      </c>
    </row>
    <row r="93" ht="15.75" customHeight="1">
      <c r="A93" s="18"/>
      <c r="E93" s="6"/>
      <c r="F93" s="6">
        <f t="shared" si="2"/>
        <v>0</v>
      </c>
    </row>
    <row r="94" ht="15.75" customHeight="1">
      <c r="A94" s="18"/>
      <c r="E94" s="6"/>
      <c r="F94" s="6">
        <f t="shared" si="2"/>
        <v>0</v>
      </c>
    </row>
    <row r="95" ht="15.75" customHeight="1">
      <c r="A95" s="18"/>
      <c r="E95" s="6"/>
      <c r="F95" s="6">
        <f t="shared" si="2"/>
        <v>0</v>
      </c>
    </row>
    <row r="96" ht="15.75" customHeight="1">
      <c r="A96" s="18"/>
      <c r="E96" s="6"/>
      <c r="F96" s="6">
        <f t="shared" si="2"/>
        <v>0</v>
      </c>
    </row>
    <row r="97" ht="15.75" customHeight="1">
      <c r="A97" s="18"/>
      <c r="E97" s="6"/>
      <c r="F97" s="6">
        <f t="shared" si="2"/>
        <v>0</v>
      </c>
    </row>
    <row r="98" ht="15.75" customHeight="1">
      <c r="A98" s="18"/>
      <c r="E98" s="6"/>
      <c r="F98" s="6">
        <f t="shared" si="2"/>
        <v>0</v>
      </c>
    </row>
    <row r="99" ht="15.75" customHeight="1">
      <c r="A99" s="18"/>
      <c r="E99" s="6"/>
      <c r="F99" s="6">
        <f t="shared" si="2"/>
        <v>0</v>
      </c>
    </row>
    <row r="100" ht="15.75" customHeight="1">
      <c r="A100" s="18"/>
      <c r="E100" s="6"/>
      <c r="F100" s="6">
        <f t="shared" si="2"/>
        <v>0</v>
      </c>
    </row>
    <row r="101" ht="15.75" customHeight="1">
      <c r="A101" s="18"/>
      <c r="E101" s="6"/>
      <c r="F101" s="6">
        <f t="shared" si="2"/>
        <v>0</v>
      </c>
    </row>
    <row r="102" ht="15.75" customHeight="1">
      <c r="A102" s="18"/>
      <c r="E102" s="6"/>
      <c r="F102" s="6">
        <f t="shared" si="2"/>
        <v>0</v>
      </c>
    </row>
    <row r="103" ht="15.75" customHeight="1">
      <c r="A103" s="18"/>
      <c r="E103" s="6"/>
      <c r="F103" s="6">
        <f t="shared" si="2"/>
        <v>0</v>
      </c>
    </row>
    <row r="104" ht="15.75" customHeight="1">
      <c r="A104" s="18"/>
      <c r="E104" s="6"/>
      <c r="F104" s="6">
        <f t="shared" si="2"/>
        <v>0</v>
      </c>
    </row>
    <row r="105" ht="15.75" customHeight="1">
      <c r="A105" s="18"/>
      <c r="E105" s="6"/>
      <c r="F105" s="6">
        <f t="shared" si="2"/>
        <v>0</v>
      </c>
    </row>
    <row r="106" ht="15.75" customHeight="1">
      <c r="A106" s="18"/>
      <c r="E106" s="6"/>
      <c r="F106" s="6">
        <f t="shared" si="2"/>
        <v>0</v>
      </c>
    </row>
    <row r="107" ht="15.75" customHeight="1">
      <c r="A107" s="18"/>
      <c r="E107" s="6"/>
      <c r="F107" s="6">
        <f t="shared" si="2"/>
        <v>0</v>
      </c>
    </row>
    <row r="108" ht="15.75" customHeight="1">
      <c r="A108" s="18"/>
      <c r="E108" s="6"/>
      <c r="F108" s="6">
        <f t="shared" si="2"/>
        <v>0</v>
      </c>
    </row>
    <row r="109" ht="15.75" customHeight="1">
      <c r="A109" s="18"/>
      <c r="E109" s="6"/>
      <c r="F109" s="6">
        <f t="shared" si="2"/>
        <v>0</v>
      </c>
    </row>
    <row r="110" ht="15.75" customHeight="1">
      <c r="A110" s="18"/>
      <c r="E110" s="6"/>
      <c r="F110" s="6">
        <f t="shared" si="2"/>
        <v>0</v>
      </c>
    </row>
    <row r="111" ht="15.75" customHeight="1">
      <c r="A111" s="18"/>
      <c r="E111" s="6"/>
      <c r="F111" s="6">
        <f t="shared" si="2"/>
        <v>0</v>
      </c>
    </row>
    <row r="112" ht="15.75" customHeight="1">
      <c r="A112" s="18"/>
      <c r="E112" s="6"/>
      <c r="F112" s="6">
        <f t="shared" si="2"/>
        <v>0</v>
      </c>
    </row>
    <row r="113" ht="15.75" customHeight="1">
      <c r="A113" s="18"/>
      <c r="E113" s="6"/>
      <c r="F113" s="6">
        <f t="shared" si="2"/>
        <v>0</v>
      </c>
    </row>
    <row r="114" ht="15.75" customHeight="1">
      <c r="A114" s="18"/>
      <c r="E114" s="6"/>
      <c r="F114" s="6">
        <f t="shared" si="2"/>
        <v>0</v>
      </c>
    </row>
    <row r="115" ht="15.75" customHeight="1">
      <c r="A115" s="18"/>
      <c r="E115" s="6"/>
      <c r="F115" s="6">
        <f t="shared" si="2"/>
        <v>0</v>
      </c>
    </row>
    <row r="116" ht="15.75" customHeight="1">
      <c r="A116" s="18"/>
      <c r="E116" s="6"/>
      <c r="F116" s="6">
        <f t="shared" si="2"/>
        <v>0</v>
      </c>
    </row>
    <row r="117" ht="15.75" customHeight="1">
      <c r="A117" s="18"/>
      <c r="E117" s="6"/>
      <c r="F117" s="6">
        <f t="shared" si="2"/>
        <v>0</v>
      </c>
    </row>
    <row r="118" ht="15.75" customHeight="1">
      <c r="A118" s="18"/>
      <c r="E118" s="6"/>
      <c r="F118" s="6">
        <f t="shared" si="2"/>
        <v>0</v>
      </c>
    </row>
    <row r="119" ht="15.75" customHeight="1">
      <c r="A119" s="18"/>
      <c r="E119" s="6"/>
      <c r="F119" s="6">
        <f t="shared" si="2"/>
        <v>0</v>
      </c>
    </row>
    <row r="120" ht="15.75" customHeight="1">
      <c r="A120" s="18"/>
      <c r="E120" s="6"/>
      <c r="F120" s="6">
        <f t="shared" si="2"/>
        <v>0</v>
      </c>
    </row>
    <row r="121" ht="15.75" customHeight="1">
      <c r="A121" s="18"/>
      <c r="E121" s="6"/>
      <c r="F121" s="6">
        <f t="shared" si="2"/>
        <v>0</v>
      </c>
    </row>
    <row r="122" ht="15.75" customHeight="1">
      <c r="A122" s="18"/>
      <c r="E122" s="6"/>
      <c r="F122" s="6">
        <f t="shared" si="2"/>
        <v>0</v>
      </c>
    </row>
    <row r="123" ht="15.75" customHeight="1">
      <c r="A123" s="18"/>
      <c r="E123" s="6"/>
      <c r="F123" s="6">
        <f t="shared" si="2"/>
        <v>0</v>
      </c>
    </row>
    <row r="124" ht="15.75" customHeight="1">
      <c r="A124" s="18"/>
      <c r="E124" s="6"/>
      <c r="F124" s="6">
        <f t="shared" si="2"/>
        <v>0</v>
      </c>
    </row>
    <row r="125" ht="15.75" customHeight="1">
      <c r="A125" s="18"/>
      <c r="E125" s="6"/>
      <c r="F125" s="6">
        <f t="shared" si="2"/>
        <v>0</v>
      </c>
    </row>
    <row r="126" ht="15.75" customHeight="1">
      <c r="A126" s="18"/>
      <c r="E126" s="6"/>
      <c r="F126" s="6">
        <f t="shared" si="2"/>
        <v>0</v>
      </c>
    </row>
    <row r="127" ht="15.75" customHeight="1">
      <c r="A127" s="18"/>
      <c r="E127" s="6"/>
      <c r="F127" s="6">
        <f t="shared" si="2"/>
        <v>0</v>
      </c>
    </row>
    <row r="128" ht="15.75" customHeight="1">
      <c r="A128" s="18"/>
      <c r="E128" s="6"/>
      <c r="F128" s="6">
        <f t="shared" si="2"/>
        <v>0</v>
      </c>
    </row>
    <row r="129" ht="15.75" customHeight="1">
      <c r="A129" s="18"/>
      <c r="E129" s="6"/>
      <c r="F129" s="6">
        <f t="shared" si="2"/>
        <v>0</v>
      </c>
    </row>
    <row r="130" ht="15.75" customHeight="1">
      <c r="A130" s="18"/>
      <c r="E130" s="6"/>
      <c r="F130" s="6">
        <f t="shared" si="2"/>
        <v>0</v>
      </c>
    </row>
    <row r="131" ht="15.75" customHeight="1">
      <c r="A131" s="18"/>
      <c r="E131" s="6"/>
      <c r="F131" s="6">
        <f t="shared" si="2"/>
        <v>0</v>
      </c>
    </row>
    <row r="132" ht="15.75" customHeight="1">
      <c r="A132" s="18"/>
      <c r="E132" s="6"/>
      <c r="F132" s="6">
        <f t="shared" si="2"/>
        <v>0</v>
      </c>
    </row>
    <row r="133" ht="15.75" customHeight="1">
      <c r="A133" s="18"/>
      <c r="E133" s="6"/>
      <c r="F133" s="6">
        <f t="shared" si="2"/>
        <v>0</v>
      </c>
    </row>
    <row r="134" ht="15.75" customHeight="1">
      <c r="A134" s="18"/>
      <c r="E134" s="6"/>
      <c r="F134" s="6">
        <f t="shared" si="2"/>
        <v>0</v>
      </c>
    </row>
    <row r="135" ht="15.75" customHeight="1">
      <c r="A135" s="18"/>
      <c r="E135" s="6"/>
      <c r="F135" s="6">
        <f t="shared" si="2"/>
        <v>0</v>
      </c>
    </row>
    <row r="136" ht="15.75" customHeight="1">
      <c r="A136" s="18"/>
      <c r="E136" s="6"/>
      <c r="F136" s="6">
        <f t="shared" si="2"/>
        <v>0</v>
      </c>
    </row>
    <row r="137" ht="15.75" customHeight="1">
      <c r="A137" s="18"/>
      <c r="E137" s="6"/>
      <c r="F137" s="6">
        <f t="shared" si="2"/>
        <v>0</v>
      </c>
    </row>
    <row r="138" ht="15.75" customHeight="1">
      <c r="A138" s="18"/>
      <c r="E138" s="6"/>
      <c r="F138" s="6">
        <f t="shared" si="2"/>
        <v>0</v>
      </c>
    </row>
    <row r="139" ht="15.75" customHeight="1">
      <c r="A139" s="18"/>
      <c r="E139" s="6"/>
      <c r="F139" s="6">
        <f t="shared" si="2"/>
        <v>0</v>
      </c>
    </row>
    <row r="140" ht="15.75" customHeight="1">
      <c r="A140" s="18"/>
      <c r="E140" s="6"/>
      <c r="F140" s="6">
        <f t="shared" si="2"/>
        <v>0</v>
      </c>
    </row>
    <row r="141" ht="15.75" customHeight="1">
      <c r="A141" s="18"/>
      <c r="E141" s="6"/>
      <c r="F141" s="6">
        <f t="shared" si="2"/>
        <v>0</v>
      </c>
    </row>
    <row r="142" ht="15.75" customHeight="1">
      <c r="A142" s="18"/>
      <c r="E142" s="6"/>
      <c r="F142" s="6">
        <f t="shared" si="2"/>
        <v>0</v>
      </c>
    </row>
    <row r="143" ht="15.75" customHeight="1">
      <c r="A143" s="18"/>
      <c r="E143" s="6"/>
      <c r="F143" s="6">
        <f t="shared" si="2"/>
        <v>0</v>
      </c>
    </row>
    <row r="144" ht="15.75" customHeight="1">
      <c r="A144" s="18"/>
      <c r="E144" s="6"/>
      <c r="F144" s="6">
        <f t="shared" si="2"/>
        <v>0</v>
      </c>
    </row>
    <row r="145" ht="15.75" customHeight="1">
      <c r="A145" s="18"/>
      <c r="E145" s="6"/>
      <c r="F145" s="6">
        <f t="shared" si="2"/>
        <v>0</v>
      </c>
    </row>
    <row r="146" ht="15.75" customHeight="1">
      <c r="A146" s="18"/>
      <c r="E146" s="6"/>
      <c r="F146" s="6">
        <f t="shared" si="2"/>
        <v>0</v>
      </c>
    </row>
    <row r="147" ht="15.75" customHeight="1">
      <c r="A147" s="18"/>
      <c r="E147" s="6"/>
      <c r="F147" s="6">
        <f t="shared" si="2"/>
        <v>0</v>
      </c>
    </row>
    <row r="148" ht="15.75" customHeight="1">
      <c r="A148" s="18"/>
      <c r="E148" s="6"/>
      <c r="F148" s="6">
        <f t="shared" si="2"/>
        <v>0</v>
      </c>
    </row>
    <row r="149" ht="15.75" customHeight="1">
      <c r="A149" s="18"/>
      <c r="E149" s="6"/>
      <c r="F149" s="6">
        <f t="shared" si="2"/>
        <v>0</v>
      </c>
    </row>
    <row r="150" ht="15.75" customHeight="1">
      <c r="A150" s="18"/>
      <c r="E150" s="6"/>
      <c r="F150" s="6">
        <f t="shared" si="2"/>
        <v>0</v>
      </c>
    </row>
    <row r="151" ht="15.75" customHeight="1">
      <c r="A151" s="18"/>
      <c r="E151" s="6"/>
      <c r="F151" s="6">
        <f t="shared" si="2"/>
        <v>0</v>
      </c>
    </row>
    <row r="152" ht="15.75" customHeight="1">
      <c r="A152" s="18"/>
      <c r="E152" s="6"/>
      <c r="F152" s="6">
        <f t="shared" si="2"/>
        <v>0</v>
      </c>
    </row>
    <row r="153" ht="15.75" customHeight="1">
      <c r="A153" s="18"/>
      <c r="E153" s="6"/>
      <c r="F153" s="6">
        <f t="shared" si="2"/>
        <v>0</v>
      </c>
    </row>
    <row r="154" ht="15.75" customHeight="1">
      <c r="A154" s="18"/>
      <c r="E154" s="6"/>
      <c r="F154" s="6">
        <f t="shared" si="2"/>
        <v>0</v>
      </c>
    </row>
    <row r="155" ht="15.75" customHeight="1">
      <c r="A155" s="18"/>
      <c r="E155" s="6"/>
      <c r="F155" s="6">
        <f t="shared" si="2"/>
        <v>0</v>
      </c>
    </row>
    <row r="156" ht="15.75" customHeight="1">
      <c r="A156" s="18"/>
      <c r="E156" s="6"/>
      <c r="F156" s="6">
        <f t="shared" si="2"/>
        <v>0</v>
      </c>
    </row>
    <row r="157" ht="15.75" customHeight="1">
      <c r="A157" s="18"/>
      <c r="E157" s="6"/>
      <c r="F157" s="6">
        <f t="shared" si="2"/>
        <v>0</v>
      </c>
    </row>
    <row r="158" ht="15.75" customHeight="1">
      <c r="A158" s="18"/>
      <c r="E158" s="6"/>
      <c r="F158" s="6">
        <f t="shared" si="2"/>
        <v>0</v>
      </c>
    </row>
    <row r="159" ht="15.75" customHeight="1">
      <c r="A159" s="18"/>
      <c r="E159" s="6"/>
      <c r="F159" s="6">
        <f t="shared" si="2"/>
        <v>0</v>
      </c>
    </row>
    <row r="160" ht="15.75" customHeight="1">
      <c r="A160" s="18"/>
      <c r="E160" s="6"/>
      <c r="F160" s="6">
        <f t="shared" si="2"/>
        <v>0</v>
      </c>
    </row>
    <row r="161" ht="15.75" customHeight="1">
      <c r="A161" s="18"/>
      <c r="E161" s="6"/>
      <c r="F161" s="6">
        <f t="shared" si="2"/>
        <v>0</v>
      </c>
    </row>
    <row r="162" ht="15.75" customHeight="1">
      <c r="A162" s="18"/>
      <c r="E162" s="6"/>
      <c r="F162" s="6">
        <f t="shared" si="2"/>
        <v>0</v>
      </c>
    </row>
    <row r="163" ht="15.75" customHeight="1">
      <c r="A163" s="18"/>
      <c r="E163" s="6"/>
      <c r="F163" s="6">
        <f t="shared" si="2"/>
        <v>0</v>
      </c>
    </row>
    <row r="164" ht="15.75" customHeight="1">
      <c r="A164" s="18"/>
      <c r="E164" s="6"/>
      <c r="F164" s="6">
        <f t="shared" si="2"/>
        <v>0</v>
      </c>
    </row>
    <row r="165" ht="15.75" customHeight="1">
      <c r="A165" s="18"/>
      <c r="E165" s="6"/>
      <c r="F165" s="6">
        <f t="shared" si="2"/>
        <v>0</v>
      </c>
    </row>
    <row r="166" ht="15.75" customHeight="1">
      <c r="A166" s="18"/>
      <c r="E166" s="6"/>
      <c r="F166" s="6">
        <f t="shared" si="2"/>
        <v>0</v>
      </c>
    </row>
    <row r="167" ht="15.75" customHeight="1">
      <c r="A167" s="18"/>
      <c r="E167" s="6"/>
      <c r="F167" s="6">
        <f t="shared" si="2"/>
        <v>0</v>
      </c>
    </row>
    <row r="168" ht="15.75" customHeight="1">
      <c r="A168" s="18"/>
      <c r="E168" s="6"/>
      <c r="F168" s="6">
        <f t="shared" si="2"/>
        <v>0</v>
      </c>
    </row>
    <row r="169" ht="15.75" customHeight="1">
      <c r="A169" s="18"/>
      <c r="E169" s="6"/>
      <c r="F169" s="6">
        <f t="shared" si="2"/>
        <v>0</v>
      </c>
    </row>
    <row r="170" ht="15.75" customHeight="1">
      <c r="A170" s="18"/>
      <c r="E170" s="6"/>
      <c r="F170" s="6">
        <f t="shared" si="2"/>
        <v>0</v>
      </c>
    </row>
    <row r="171" ht="15.75" customHeight="1">
      <c r="A171" s="18"/>
      <c r="E171" s="6"/>
      <c r="F171" s="6">
        <f t="shared" si="2"/>
        <v>0</v>
      </c>
    </row>
    <row r="172" ht="15.75" customHeight="1">
      <c r="A172" s="18"/>
      <c r="E172" s="6"/>
      <c r="F172" s="6">
        <f t="shared" si="2"/>
        <v>0</v>
      </c>
    </row>
    <row r="173" ht="15.75" customHeight="1">
      <c r="A173" s="18"/>
      <c r="E173" s="6"/>
      <c r="F173" s="6">
        <f t="shared" si="2"/>
        <v>0</v>
      </c>
    </row>
    <row r="174" ht="15.75" customHeight="1">
      <c r="A174" s="18"/>
      <c r="E174" s="6"/>
      <c r="F174" s="6">
        <f t="shared" si="2"/>
        <v>0</v>
      </c>
    </row>
    <row r="175" ht="15.75" customHeight="1">
      <c r="A175" s="18"/>
      <c r="E175" s="6"/>
      <c r="F175" s="6">
        <f t="shared" si="2"/>
        <v>0</v>
      </c>
    </row>
    <row r="176" ht="15.75" customHeight="1">
      <c r="A176" s="18"/>
      <c r="E176" s="6"/>
      <c r="F176" s="6">
        <f t="shared" si="2"/>
        <v>0</v>
      </c>
    </row>
    <row r="177" ht="15.75" customHeight="1">
      <c r="A177" s="18"/>
      <c r="E177" s="6"/>
      <c r="F177" s="6">
        <f t="shared" si="2"/>
        <v>0</v>
      </c>
    </row>
    <row r="178" ht="15.75" customHeight="1">
      <c r="A178" s="18"/>
      <c r="E178" s="6"/>
      <c r="F178" s="6">
        <f t="shared" si="2"/>
        <v>0</v>
      </c>
    </row>
    <row r="179" ht="15.75" customHeight="1">
      <c r="A179" s="18"/>
      <c r="E179" s="6"/>
      <c r="F179" s="6">
        <f t="shared" si="2"/>
        <v>0</v>
      </c>
    </row>
    <row r="180" ht="15.75" customHeight="1">
      <c r="A180" s="18"/>
      <c r="E180" s="6"/>
      <c r="F180" s="6">
        <f t="shared" si="2"/>
        <v>0</v>
      </c>
    </row>
    <row r="181" ht="15.75" customHeight="1">
      <c r="A181" s="18"/>
      <c r="E181" s="6"/>
      <c r="F181" s="6">
        <f t="shared" si="2"/>
        <v>0</v>
      </c>
    </row>
    <row r="182" ht="15.75" customHeight="1">
      <c r="A182" s="18"/>
      <c r="E182" s="6"/>
      <c r="F182" s="6">
        <f t="shared" si="2"/>
        <v>0</v>
      </c>
    </row>
    <row r="183" ht="15.75" customHeight="1">
      <c r="A183" s="18"/>
      <c r="E183" s="6"/>
      <c r="F183" s="6">
        <f t="shared" si="2"/>
        <v>0</v>
      </c>
    </row>
    <row r="184" ht="15.75" customHeight="1">
      <c r="A184" s="18"/>
      <c r="E184" s="6"/>
      <c r="F184" s="6">
        <f t="shared" si="2"/>
        <v>0</v>
      </c>
    </row>
    <row r="185" ht="15.75" customHeight="1">
      <c r="A185" s="18"/>
      <c r="E185" s="6"/>
      <c r="F185" s="6">
        <f t="shared" si="2"/>
        <v>0</v>
      </c>
    </row>
    <row r="186" ht="15.75" customHeight="1">
      <c r="A186" s="18"/>
      <c r="E186" s="6"/>
      <c r="F186" s="6">
        <f t="shared" si="2"/>
        <v>0</v>
      </c>
    </row>
    <row r="187" ht="15.75" customHeight="1">
      <c r="A187" s="18"/>
      <c r="E187" s="6"/>
      <c r="F187" s="6">
        <f t="shared" si="2"/>
        <v>0</v>
      </c>
    </row>
    <row r="188" ht="15.75" customHeight="1">
      <c r="A188" s="18"/>
      <c r="E188" s="6"/>
      <c r="F188" s="6">
        <f t="shared" si="2"/>
        <v>0</v>
      </c>
    </row>
    <row r="189" ht="15.75" customHeight="1">
      <c r="A189" s="18"/>
      <c r="E189" s="6"/>
      <c r="F189" s="6">
        <f t="shared" si="2"/>
        <v>0</v>
      </c>
    </row>
    <row r="190" ht="15.75" customHeight="1">
      <c r="A190" s="18"/>
      <c r="E190" s="6"/>
      <c r="F190" s="6">
        <f t="shared" si="2"/>
        <v>0</v>
      </c>
    </row>
    <row r="191" ht="15.75" customHeight="1">
      <c r="A191" s="18"/>
      <c r="E191" s="6"/>
      <c r="F191" s="6">
        <f t="shared" si="2"/>
        <v>0</v>
      </c>
    </row>
    <row r="192" ht="15.75" customHeight="1">
      <c r="A192" s="18"/>
      <c r="E192" s="6"/>
      <c r="F192" s="6">
        <f t="shared" si="2"/>
        <v>0</v>
      </c>
    </row>
    <row r="193" ht="15.75" customHeight="1">
      <c r="A193" s="18"/>
      <c r="E193" s="6"/>
      <c r="F193" s="6">
        <f t="shared" si="2"/>
        <v>0</v>
      </c>
    </row>
    <row r="194" ht="15.75" customHeight="1">
      <c r="A194" s="18"/>
      <c r="E194" s="6"/>
      <c r="F194" s="6">
        <f t="shared" si="2"/>
        <v>0</v>
      </c>
    </row>
    <row r="195" ht="15.75" customHeight="1">
      <c r="A195" s="18"/>
      <c r="E195" s="6"/>
      <c r="F195" s="6">
        <f t="shared" si="2"/>
        <v>0</v>
      </c>
    </row>
    <row r="196" ht="15.75" customHeight="1">
      <c r="A196" s="18"/>
      <c r="E196" s="6"/>
      <c r="F196" s="6">
        <f t="shared" si="2"/>
        <v>0</v>
      </c>
    </row>
    <row r="197" ht="15.75" customHeight="1">
      <c r="A197" s="18"/>
      <c r="E197" s="6"/>
      <c r="F197" s="6">
        <f t="shared" si="2"/>
        <v>0</v>
      </c>
    </row>
    <row r="198" ht="15.75" customHeight="1">
      <c r="A198" s="18"/>
      <c r="E198" s="6"/>
      <c r="F198" s="6">
        <f t="shared" si="2"/>
        <v>0</v>
      </c>
    </row>
    <row r="199" ht="15.75" customHeight="1">
      <c r="A199" s="18"/>
      <c r="E199" s="6"/>
      <c r="F199" s="6">
        <f t="shared" si="2"/>
        <v>0</v>
      </c>
    </row>
    <row r="200" ht="15.75" customHeight="1">
      <c r="A200" s="18"/>
      <c r="E200" s="6"/>
      <c r="F200" s="6">
        <f t="shared" si="2"/>
        <v>0</v>
      </c>
    </row>
    <row r="201" ht="15.75" customHeight="1">
      <c r="A201" s="18"/>
      <c r="E201" s="6"/>
      <c r="F201" s="6">
        <f t="shared" si="2"/>
        <v>0</v>
      </c>
    </row>
    <row r="202" ht="15.75" customHeight="1">
      <c r="A202" s="18"/>
      <c r="E202" s="6"/>
      <c r="F202" s="6">
        <f t="shared" si="2"/>
        <v>0</v>
      </c>
    </row>
    <row r="203" ht="15.75" customHeight="1">
      <c r="A203" s="18"/>
      <c r="E203" s="6"/>
      <c r="F203" s="6">
        <f t="shared" si="2"/>
        <v>0</v>
      </c>
    </row>
    <row r="204" ht="15.75" customHeight="1">
      <c r="A204" s="18"/>
      <c r="E204" s="6"/>
      <c r="F204" s="6">
        <f t="shared" si="2"/>
        <v>0</v>
      </c>
    </row>
    <row r="205" ht="15.75" customHeight="1">
      <c r="A205" s="18"/>
      <c r="E205" s="6"/>
      <c r="F205" s="6">
        <f t="shared" si="2"/>
        <v>0</v>
      </c>
    </row>
    <row r="206" ht="15.75" customHeight="1">
      <c r="A206" s="18"/>
      <c r="E206" s="6"/>
      <c r="F206" s="6">
        <f t="shared" si="2"/>
        <v>0</v>
      </c>
    </row>
    <row r="207" ht="15.75" customHeight="1">
      <c r="A207" s="18"/>
      <c r="E207" s="6"/>
      <c r="F207" s="6">
        <f t="shared" si="2"/>
        <v>0</v>
      </c>
    </row>
    <row r="208" ht="15.75" customHeight="1">
      <c r="A208" s="18"/>
      <c r="E208" s="6"/>
      <c r="F208" s="6">
        <f t="shared" si="2"/>
        <v>0</v>
      </c>
    </row>
    <row r="209" ht="15.75" customHeight="1">
      <c r="A209" s="18"/>
      <c r="E209" s="6"/>
      <c r="F209" s="6">
        <f t="shared" si="2"/>
        <v>0</v>
      </c>
    </row>
    <row r="210" ht="15.75" customHeight="1">
      <c r="A210" s="18"/>
      <c r="E210" s="6"/>
      <c r="F210" s="6">
        <f t="shared" si="2"/>
        <v>0</v>
      </c>
    </row>
    <row r="211" ht="15.75" customHeight="1">
      <c r="A211" s="18"/>
      <c r="E211" s="6"/>
      <c r="F211" s="6">
        <f t="shared" si="2"/>
        <v>0</v>
      </c>
    </row>
    <row r="212" ht="15.75" customHeight="1">
      <c r="A212" s="18"/>
      <c r="E212" s="6"/>
      <c r="F212" s="6">
        <f t="shared" si="2"/>
        <v>0</v>
      </c>
    </row>
    <row r="213" ht="15.75" customHeight="1"/>
    <row r="214" ht="15.75" customHeight="1"/>
    <row r="215" ht="15.75" customHeight="1">
      <c r="A215" s="13" t="s">
        <v>85</v>
      </c>
    </row>
    <row r="216" ht="15.75" customHeight="1">
      <c r="A216" s="5" t="s">
        <v>86</v>
      </c>
      <c r="B216" s="9">
        <f>SUMIF(D:D,"Deposit",E:E)</f>
        <v>425</v>
      </c>
    </row>
    <row r="217" ht="15.75" customHeight="1">
      <c r="A217" s="5" t="s">
        <v>6</v>
      </c>
      <c r="B217" s="9">
        <f>SUMIF(D:D,"Withdrawal",E:E)</f>
        <v>300</v>
      </c>
    </row>
    <row r="218" ht="15.75" customHeight="1">
      <c r="A218" s="5" t="s">
        <v>87</v>
      </c>
      <c r="B218" s="9">
        <f>SUMIF(D:D,"Reimbursement",E:E)</f>
        <v>100</v>
      </c>
    </row>
    <row r="219" ht="15.75" customHeight="1">
      <c r="A219" s="5" t="s">
        <v>88</v>
      </c>
      <c r="B219" s="19">
        <f>SUM(F:F)</f>
        <v>87.5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G1"/>
    <mergeCell ref="A3: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0.0"/>
    <col customWidth="1" min="3" max="3" width="10.0"/>
    <col customWidth="1" min="4" max="4" width="12.0"/>
    <col customWidth="1" min="5" max="5" width="15.0"/>
    <col customWidth="1" min="6" max="6" width="35.0"/>
    <col customWidth="1" min="7" max="26" width="8.71"/>
  </cols>
  <sheetData>
    <row r="1">
      <c r="A1" s="1" t="s">
        <v>89</v>
      </c>
    </row>
    <row r="3">
      <c r="A3" s="2" t="s">
        <v>90</v>
      </c>
    </row>
    <row r="5">
      <c r="A5" s="3" t="s">
        <v>91</v>
      </c>
    </row>
    <row r="7">
      <c r="A7" s="5" t="s">
        <v>92</v>
      </c>
      <c r="B7" s="6">
        <f>COUNTIFS(Ledger!$C:$C,"Pack Dues",Ledger!$D:$D,"Withdrawal")*100</f>
        <v>0</v>
      </c>
      <c r="C7" s="5" t="s">
        <v>93</v>
      </c>
    </row>
    <row r="8">
      <c r="A8" s="5" t="s">
        <v>94</v>
      </c>
      <c r="B8" s="6">
        <f>COUNTIF(Ledger!$D:$D,"Pack Dues Paid")*100</f>
        <v>100</v>
      </c>
      <c r="C8" s="5" t="s">
        <v>95</v>
      </c>
    </row>
    <row r="9">
      <c r="A9" s="5" t="s">
        <v>96</v>
      </c>
      <c r="B9" s="9">
        <f>B7+B8</f>
        <v>100</v>
      </c>
    </row>
    <row r="11">
      <c r="A11" s="5" t="s">
        <v>97</v>
      </c>
      <c r="B11" s="9">
        <f>Ledger!$B$219</f>
        <v>87.5</v>
      </c>
    </row>
    <row r="12">
      <c r="A12" s="5" t="s">
        <v>98</v>
      </c>
      <c r="B12" s="9">
        <f>SUMIF(C:C,"Income",D:D)</f>
        <v>500</v>
      </c>
    </row>
    <row r="14">
      <c r="A14" s="8" t="s">
        <v>99</v>
      </c>
      <c r="B14" s="19">
        <f>B9+B11+B12</f>
        <v>687.5</v>
      </c>
    </row>
    <row r="16">
      <c r="A16" s="5" t="s">
        <v>100</v>
      </c>
      <c r="B16" s="9">
        <f>SUMIF(C:C,"Expense",D:D)</f>
        <v>1800</v>
      </c>
    </row>
    <row r="17">
      <c r="A17" s="5" t="s">
        <v>101</v>
      </c>
      <c r="B17" s="9">
        <f>Ledger!$B$218</f>
        <v>100</v>
      </c>
    </row>
    <row r="19">
      <c r="A19" s="20" t="s">
        <v>102</v>
      </c>
      <c r="B19" s="21">
        <f>B14-B16-B17</f>
        <v>-1212.5</v>
      </c>
    </row>
    <row r="21" ht="15.75" customHeight="1"/>
    <row r="22" ht="15.75" customHeight="1">
      <c r="A22" s="3" t="s">
        <v>103</v>
      </c>
    </row>
    <row r="23" ht="15.75" customHeight="1">
      <c r="A23" s="22" t="s">
        <v>58</v>
      </c>
      <c r="B23" s="22" t="s">
        <v>59</v>
      </c>
      <c r="C23" s="22" t="s">
        <v>60</v>
      </c>
      <c r="D23" s="22" t="s">
        <v>61</v>
      </c>
      <c r="E23" s="22" t="s">
        <v>104</v>
      </c>
      <c r="F23" s="22" t="s">
        <v>10</v>
      </c>
    </row>
    <row r="24" ht="15.75" customHeight="1">
      <c r="A24" s="5" t="s">
        <v>63</v>
      </c>
      <c r="B24" s="5" t="s">
        <v>105</v>
      </c>
      <c r="C24" s="17" t="s">
        <v>106</v>
      </c>
      <c r="D24" s="6">
        <v>875.0</v>
      </c>
      <c r="E24" s="5" t="s">
        <v>107</v>
      </c>
      <c r="F24" s="5" t="s">
        <v>108</v>
      </c>
    </row>
    <row r="25" ht="15.75" customHeight="1">
      <c r="A25" s="5" t="s">
        <v>70</v>
      </c>
      <c r="B25" s="5" t="s">
        <v>109</v>
      </c>
      <c r="C25" s="17" t="s">
        <v>106</v>
      </c>
      <c r="D25" s="6">
        <v>245.0</v>
      </c>
      <c r="E25" s="5" t="s">
        <v>110</v>
      </c>
      <c r="F25" s="5" t="s">
        <v>111</v>
      </c>
    </row>
    <row r="26" ht="15.75" customHeight="1">
      <c r="A26" s="5" t="s">
        <v>77</v>
      </c>
      <c r="B26" s="5" t="s">
        <v>112</v>
      </c>
      <c r="C26" s="17" t="s">
        <v>106</v>
      </c>
      <c r="D26" s="6">
        <v>380.0</v>
      </c>
      <c r="E26" s="5" t="s">
        <v>113</v>
      </c>
      <c r="F26" s="5" t="s">
        <v>114</v>
      </c>
    </row>
    <row r="27" ht="15.75" customHeight="1">
      <c r="A27" s="5" t="s">
        <v>77</v>
      </c>
      <c r="B27" s="5" t="s">
        <v>115</v>
      </c>
      <c r="C27" s="14" t="s">
        <v>116</v>
      </c>
      <c r="D27" s="6">
        <v>500.0</v>
      </c>
      <c r="E27" s="5" t="s">
        <v>117</v>
      </c>
      <c r="F27" s="5" t="s">
        <v>118</v>
      </c>
    </row>
    <row r="28" ht="15.75" customHeight="1">
      <c r="A28" s="5" t="s">
        <v>119</v>
      </c>
      <c r="B28" s="5" t="s">
        <v>120</v>
      </c>
      <c r="C28" s="17" t="s">
        <v>106</v>
      </c>
      <c r="D28" s="6">
        <v>300.0</v>
      </c>
      <c r="E28" s="5" t="s">
        <v>121</v>
      </c>
      <c r="F28" s="5" t="s">
        <v>122</v>
      </c>
    </row>
    <row r="29" ht="15.75" customHeight="1">
      <c r="F29" s="5" t="s">
        <v>84</v>
      </c>
    </row>
    <row r="30" ht="15.75" customHeight="1">
      <c r="A30" s="18"/>
      <c r="D30" s="6"/>
    </row>
    <row r="31" ht="15.75" customHeight="1">
      <c r="A31" s="18"/>
      <c r="D31" s="6"/>
    </row>
    <row r="32" ht="15.75" customHeight="1">
      <c r="A32" s="18"/>
      <c r="D32" s="6"/>
    </row>
    <row r="33" ht="15.75" customHeight="1">
      <c r="A33" s="18"/>
      <c r="D33" s="6"/>
    </row>
    <row r="34" ht="15.75" customHeight="1">
      <c r="A34" s="18"/>
      <c r="D34" s="6"/>
    </row>
    <row r="35" ht="15.75" customHeight="1">
      <c r="A35" s="18"/>
      <c r="D35" s="6"/>
    </row>
    <row r="36" ht="15.75" customHeight="1">
      <c r="A36" s="18"/>
      <c r="D36" s="6"/>
    </row>
    <row r="37" ht="15.75" customHeight="1">
      <c r="A37" s="18"/>
      <c r="D37" s="6"/>
    </row>
    <row r="38" ht="15.75" customHeight="1">
      <c r="A38" s="18"/>
      <c r="D38" s="6"/>
    </row>
    <row r="39" ht="15.75" customHeight="1">
      <c r="A39" s="18"/>
      <c r="D39" s="6"/>
    </row>
    <row r="40" ht="15.75" customHeight="1">
      <c r="A40" s="18"/>
      <c r="D40" s="6"/>
    </row>
    <row r="41" ht="15.75" customHeight="1">
      <c r="A41" s="18"/>
      <c r="D41" s="6"/>
    </row>
    <row r="42" ht="15.75" customHeight="1">
      <c r="A42" s="18"/>
      <c r="D42" s="6"/>
    </row>
    <row r="43" ht="15.75" customHeight="1">
      <c r="A43" s="18"/>
      <c r="D43" s="6"/>
    </row>
    <row r="44" ht="15.75" customHeight="1">
      <c r="A44" s="18"/>
      <c r="D44" s="6"/>
    </row>
    <row r="45" ht="15.75" customHeight="1">
      <c r="A45" s="18"/>
      <c r="D45" s="6"/>
    </row>
    <row r="46" ht="15.75" customHeight="1">
      <c r="A46" s="18"/>
      <c r="D46" s="6"/>
    </row>
    <row r="47" ht="15.75" customHeight="1">
      <c r="A47" s="18"/>
      <c r="D47" s="6"/>
    </row>
    <row r="48" ht="15.75" customHeight="1">
      <c r="A48" s="18"/>
      <c r="D48" s="6"/>
    </row>
    <row r="49" ht="15.75" customHeight="1">
      <c r="A49" s="18"/>
      <c r="D49" s="6"/>
    </row>
    <row r="50" ht="15.75" customHeight="1">
      <c r="A50" s="18"/>
      <c r="D50" s="6"/>
    </row>
    <row r="51" ht="15.75" customHeight="1">
      <c r="A51" s="18"/>
      <c r="D51" s="6"/>
    </row>
    <row r="52" ht="15.75" customHeight="1">
      <c r="A52" s="18"/>
      <c r="D52" s="6"/>
    </row>
    <row r="53" ht="15.75" customHeight="1">
      <c r="A53" s="18"/>
      <c r="D53" s="6"/>
    </row>
    <row r="54" ht="15.75" customHeight="1">
      <c r="A54" s="18"/>
      <c r="D54" s="6"/>
    </row>
    <row r="55" ht="15.75" customHeight="1">
      <c r="A55" s="18"/>
      <c r="D55" s="6"/>
    </row>
    <row r="56" ht="15.75" customHeight="1">
      <c r="A56" s="18"/>
      <c r="D56" s="6"/>
    </row>
    <row r="57" ht="15.75" customHeight="1">
      <c r="A57" s="18"/>
      <c r="D57" s="6"/>
    </row>
    <row r="58" ht="15.75" customHeight="1">
      <c r="A58" s="18"/>
      <c r="D58" s="6"/>
    </row>
    <row r="59" ht="15.75" customHeight="1">
      <c r="A59" s="18"/>
      <c r="D59" s="6"/>
    </row>
    <row r="60" ht="15.75" customHeight="1">
      <c r="A60" s="18"/>
      <c r="D60" s="6"/>
    </row>
    <row r="61" ht="15.75" customHeight="1">
      <c r="A61" s="18"/>
      <c r="D61" s="6"/>
    </row>
    <row r="62" ht="15.75" customHeight="1">
      <c r="A62" s="18"/>
      <c r="D62" s="6"/>
    </row>
    <row r="63" ht="15.75" customHeight="1">
      <c r="A63" s="18"/>
      <c r="D63" s="6"/>
    </row>
    <row r="64" ht="15.75" customHeight="1">
      <c r="A64" s="18"/>
      <c r="D64" s="6"/>
    </row>
    <row r="65" ht="15.75" customHeight="1">
      <c r="A65" s="18"/>
      <c r="D65" s="6"/>
    </row>
    <row r="66" ht="15.75" customHeight="1">
      <c r="A66" s="18"/>
      <c r="D66" s="6"/>
    </row>
    <row r="67" ht="15.75" customHeight="1">
      <c r="A67" s="18"/>
      <c r="D67" s="6"/>
    </row>
    <row r="68" ht="15.75" customHeight="1">
      <c r="A68" s="18"/>
      <c r="D68" s="6"/>
    </row>
    <row r="69" ht="15.75" customHeight="1">
      <c r="A69" s="18"/>
      <c r="D69" s="6"/>
    </row>
    <row r="70" ht="15.75" customHeight="1">
      <c r="A70" s="18"/>
      <c r="D70" s="6"/>
    </row>
    <row r="71" ht="15.75" customHeight="1">
      <c r="A71" s="18"/>
      <c r="D71" s="6"/>
    </row>
    <row r="72" ht="15.75" customHeight="1">
      <c r="A72" s="18"/>
      <c r="D72" s="6"/>
    </row>
    <row r="73" ht="15.75" customHeight="1">
      <c r="A73" s="18"/>
      <c r="D73" s="6"/>
    </row>
    <row r="74" ht="15.75" customHeight="1">
      <c r="A74" s="18"/>
      <c r="D74" s="6"/>
    </row>
    <row r="75" ht="15.75" customHeight="1">
      <c r="A75" s="18"/>
      <c r="D75" s="6"/>
    </row>
    <row r="76" ht="15.75" customHeight="1">
      <c r="A76" s="18"/>
      <c r="D76" s="6"/>
    </row>
    <row r="77" ht="15.75" customHeight="1">
      <c r="A77" s="18"/>
      <c r="D77" s="6"/>
    </row>
    <row r="78" ht="15.75" customHeight="1">
      <c r="A78" s="18"/>
      <c r="D78" s="6"/>
    </row>
    <row r="79" ht="15.75" customHeight="1">
      <c r="A79" s="18"/>
      <c r="D79" s="6"/>
    </row>
    <row r="80" ht="15.75" customHeight="1">
      <c r="A80" s="18"/>
      <c r="D80" s="6"/>
    </row>
    <row r="81" ht="15.75" customHeight="1">
      <c r="A81" s="18"/>
      <c r="D81" s="6"/>
    </row>
    <row r="82" ht="15.75" customHeight="1">
      <c r="A82" s="18"/>
      <c r="D82" s="6"/>
    </row>
    <row r="83" ht="15.75" customHeight="1">
      <c r="A83" s="18"/>
      <c r="D83" s="6"/>
    </row>
    <row r="84" ht="15.75" customHeight="1">
      <c r="A84" s="18"/>
      <c r="D84" s="6"/>
    </row>
    <row r="85" ht="15.75" customHeight="1">
      <c r="A85" s="18"/>
      <c r="D85" s="6"/>
    </row>
    <row r="86" ht="15.75" customHeight="1">
      <c r="A86" s="18"/>
      <c r="D86" s="6"/>
    </row>
    <row r="87" ht="15.75" customHeight="1">
      <c r="A87" s="18"/>
      <c r="D87" s="6"/>
    </row>
    <row r="88" ht="15.75" customHeight="1">
      <c r="A88" s="18"/>
      <c r="D88" s="6"/>
    </row>
    <row r="89" ht="15.75" customHeight="1">
      <c r="A89" s="18"/>
      <c r="D89" s="6"/>
    </row>
    <row r="90" ht="15.75" customHeight="1">
      <c r="A90" s="18"/>
      <c r="D90" s="6"/>
    </row>
    <row r="91" ht="15.75" customHeight="1">
      <c r="A91" s="18"/>
      <c r="D91" s="6"/>
    </row>
    <row r="92" ht="15.75" customHeight="1">
      <c r="A92" s="18"/>
      <c r="D92" s="6"/>
    </row>
    <row r="93" ht="15.75" customHeight="1">
      <c r="A93" s="18"/>
      <c r="D93" s="6"/>
    </row>
    <row r="94" ht="15.75" customHeight="1">
      <c r="A94" s="18"/>
      <c r="D94" s="6"/>
    </row>
    <row r="95" ht="15.75" customHeight="1">
      <c r="A95" s="18"/>
      <c r="D95" s="6"/>
    </row>
    <row r="96" ht="15.75" customHeight="1">
      <c r="A96" s="18"/>
      <c r="D96" s="6"/>
    </row>
    <row r="97" ht="15.75" customHeight="1">
      <c r="A97" s="18"/>
      <c r="D97" s="6"/>
    </row>
    <row r="98" ht="15.75" customHeight="1">
      <c r="A98" s="18"/>
      <c r="D98" s="6"/>
    </row>
    <row r="99" ht="15.75" customHeight="1">
      <c r="A99" s="18"/>
      <c r="D99" s="6"/>
    </row>
    <row r="100" ht="15.75" customHeight="1">
      <c r="A100" s="18"/>
      <c r="D100" s="6"/>
    </row>
    <row r="101" ht="15.75" customHeight="1">
      <c r="A101" s="18"/>
      <c r="D101" s="6"/>
    </row>
    <row r="102" ht="15.75" customHeight="1">
      <c r="A102" s="18"/>
      <c r="D102" s="6"/>
    </row>
    <row r="103" ht="15.75" customHeight="1">
      <c r="A103" s="18"/>
      <c r="D103" s="6"/>
    </row>
    <row r="104" ht="15.75" customHeight="1">
      <c r="A104" s="18"/>
      <c r="D104" s="6"/>
    </row>
    <row r="105" ht="15.75" customHeight="1">
      <c r="A105" s="18"/>
      <c r="D105" s="6"/>
    </row>
    <row r="106" ht="15.75" customHeight="1">
      <c r="A106" s="18"/>
      <c r="D106" s="6"/>
    </row>
    <row r="107" ht="15.75" customHeight="1">
      <c r="A107" s="18"/>
      <c r="D107" s="6"/>
    </row>
    <row r="108" ht="15.75" customHeight="1">
      <c r="A108" s="18"/>
      <c r="D108" s="6"/>
    </row>
    <row r="109" ht="15.75" customHeight="1">
      <c r="A109" s="18"/>
      <c r="D109" s="6"/>
    </row>
    <row r="110" ht="15.75" customHeight="1">
      <c r="A110" s="18"/>
      <c r="D110" s="6"/>
    </row>
    <row r="111" ht="15.75" customHeight="1">
      <c r="A111" s="18"/>
      <c r="D111" s="6"/>
    </row>
    <row r="112" ht="15.75" customHeight="1">
      <c r="A112" s="18"/>
      <c r="D112" s="6"/>
    </row>
    <row r="113" ht="15.75" customHeight="1">
      <c r="A113" s="18"/>
      <c r="D113" s="6"/>
    </row>
    <row r="114" ht="15.75" customHeight="1">
      <c r="A114" s="18"/>
      <c r="D114" s="6"/>
    </row>
    <row r="115" ht="15.75" customHeight="1">
      <c r="A115" s="18"/>
      <c r="D115" s="6"/>
    </row>
    <row r="116" ht="15.75" customHeight="1">
      <c r="A116" s="18"/>
      <c r="D116" s="6"/>
    </row>
    <row r="117" ht="15.75" customHeight="1">
      <c r="A117" s="18"/>
      <c r="D117" s="6"/>
    </row>
    <row r="118" ht="15.75" customHeight="1">
      <c r="A118" s="18"/>
      <c r="D118" s="6"/>
    </row>
    <row r="119" ht="15.75" customHeight="1">
      <c r="A119" s="18"/>
      <c r="D119" s="6"/>
    </row>
    <row r="120" ht="15.75" customHeight="1">
      <c r="A120" s="18"/>
      <c r="D120" s="6"/>
    </row>
    <row r="121" ht="15.75" customHeight="1">
      <c r="A121" s="18"/>
      <c r="D121" s="6"/>
    </row>
    <row r="122" ht="15.75" customHeight="1">
      <c r="A122" s="18"/>
      <c r="D122" s="6"/>
    </row>
    <row r="123" ht="15.75" customHeight="1">
      <c r="A123" s="18"/>
      <c r="D123" s="6"/>
    </row>
    <row r="124" ht="15.75" customHeight="1">
      <c r="A124" s="18"/>
      <c r="D124" s="6"/>
    </row>
    <row r="125" ht="15.75" customHeight="1">
      <c r="A125" s="18"/>
      <c r="D125" s="6"/>
    </row>
    <row r="126" ht="15.75" customHeight="1">
      <c r="A126" s="18"/>
      <c r="D126" s="6"/>
    </row>
    <row r="127" ht="15.75" customHeight="1">
      <c r="A127" s="18"/>
      <c r="D127" s="6"/>
    </row>
    <row r="128" ht="15.75" customHeight="1">
      <c r="A128" s="18"/>
      <c r="D128" s="6"/>
    </row>
    <row r="129" ht="15.75" customHeight="1">
      <c r="A129" s="18"/>
      <c r="D129" s="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:F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123</v>
      </c>
    </row>
    <row r="4">
      <c r="A4" s="8" t="s">
        <v>124</v>
      </c>
    </row>
    <row r="5">
      <c r="A5" s="5" t="s">
        <v>125</v>
      </c>
    </row>
    <row r="6">
      <c r="A6" s="5" t="s">
        <v>126</v>
      </c>
    </row>
    <row r="8">
      <c r="A8" s="23" t="s">
        <v>127</v>
      </c>
    </row>
    <row r="9">
      <c r="A9" s="8" t="s">
        <v>128</v>
      </c>
    </row>
    <row r="10">
      <c r="A10" s="23" t="s">
        <v>127</v>
      </c>
    </row>
    <row r="12">
      <c r="A12" s="5" t="s">
        <v>129</v>
      </c>
    </row>
    <row r="13">
      <c r="A13" s="5" t="s">
        <v>130</v>
      </c>
    </row>
    <row r="14">
      <c r="A14" s="5" t="s">
        <v>131</v>
      </c>
    </row>
    <row r="16">
      <c r="A16" s="5" t="s">
        <v>132</v>
      </c>
    </row>
    <row r="17">
      <c r="A17" s="5" t="s">
        <v>133</v>
      </c>
    </row>
    <row r="18">
      <c r="A18" s="5" t="s">
        <v>134</v>
      </c>
    </row>
    <row r="20">
      <c r="A20" s="5" t="s">
        <v>135</v>
      </c>
    </row>
    <row r="21" ht="15.75" customHeight="1">
      <c r="A21" s="5" t="s">
        <v>136</v>
      </c>
    </row>
    <row r="22" ht="15.75" customHeight="1">
      <c r="A22" s="5" t="s">
        <v>137</v>
      </c>
    </row>
    <row r="23" ht="15.75" customHeight="1">
      <c r="A23" s="5" t="s">
        <v>138</v>
      </c>
    </row>
    <row r="24" ht="15.75" customHeight="1"/>
    <row r="25" ht="15.75" customHeight="1">
      <c r="A25" s="5" t="s">
        <v>139</v>
      </c>
    </row>
    <row r="26" ht="15.75" customHeight="1">
      <c r="A26" s="5" t="s">
        <v>140</v>
      </c>
    </row>
    <row r="27" ht="15.75" customHeight="1">
      <c r="A27" s="5" t="s">
        <v>141</v>
      </c>
    </row>
    <row r="28" ht="15.75" customHeight="1">
      <c r="A28" s="5" t="s">
        <v>142</v>
      </c>
    </row>
    <row r="29" ht="15.75" customHeight="1"/>
    <row r="30" ht="15.75" customHeight="1">
      <c r="A30" s="23" t="s">
        <v>127</v>
      </c>
    </row>
    <row r="31" ht="15.75" customHeight="1">
      <c r="A31" s="8" t="s">
        <v>143</v>
      </c>
    </row>
    <row r="32" ht="15.75" customHeight="1">
      <c r="A32" s="23" t="s">
        <v>127</v>
      </c>
    </row>
    <row r="33" ht="15.75" customHeight="1"/>
    <row r="34" ht="15.75" customHeight="1">
      <c r="A34" s="8" t="s">
        <v>144</v>
      </c>
    </row>
    <row r="35" ht="15.75" customHeight="1"/>
    <row r="36" ht="15.75" customHeight="1">
      <c r="A36" s="5" t="s">
        <v>145</v>
      </c>
    </row>
    <row r="37" ht="15.75" customHeight="1">
      <c r="A37" s="5" t="s">
        <v>146</v>
      </c>
    </row>
    <row r="38" ht="15.75" customHeight="1">
      <c r="A38" s="5" t="s">
        <v>147</v>
      </c>
    </row>
    <row r="39" ht="15.75" customHeight="1">
      <c r="A39" s="5" t="s">
        <v>148</v>
      </c>
    </row>
    <row r="40" ht="15.75" customHeight="1">
      <c r="A40" s="5" t="s">
        <v>149</v>
      </c>
    </row>
    <row r="41" ht="15.75" customHeight="1">
      <c r="A41" s="5" t="s">
        <v>150</v>
      </c>
    </row>
    <row r="42" ht="15.75" customHeight="1">
      <c r="A42" s="5" t="s">
        <v>151</v>
      </c>
    </row>
    <row r="43" ht="15.75" customHeight="1"/>
    <row r="44" ht="15.75" customHeight="1">
      <c r="A44" s="5" t="s">
        <v>152</v>
      </c>
    </row>
    <row r="45" ht="15.75" customHeight="1">
      <c r="A45" s="5" t="s">
        <v>153</v>
      </c>
    </row>
    <row r="46" ht="15.75" customHeight="1">
      <c r="A46" s="5" t="s">
        <v>147</v>
      </c>
    </row>
    <row r="47" ht="15.75" customHeight="1">
      <c r="A47" s="5" t="s">
        <v>154</v>
      </c>
    </row>
    <row r="48" ht="15.75" customHeight="1">
      <c r="A48" s="5" t="s">
        <v>155</v>
      </c>
    </row>
    <row r="49" ht="15.75" customHeight="1">
      <c r="A49" s="5" t="s">
        <v>156</v>
      </c>
    </row>
    <row r="50" ht="15.75" customHeight="1">
      <c r="A50" s="5" t="s">
        <v>157</v>
      </c>
    </row>
    <row r="51" ht="15.75" customHeight="1"/>
    <row r="52" ht="15.75" customHeight="1">
      <c r="A52" s="5" t="s">
        <v>158</v>
      </c>
    </row>
    <row r="53" ht="15.75" customHeight="1">
      <c r="A53" s="5" t="s">
        <v>159</v>
      </c>
    </row>
    <row r="54" ht="15.75" customHeight="1"/>
    <row r="55" ht="15.75" customHeight="1">
      <c r="A55" s="23" t="s">
        <v>127</v>
      </c>
    </row>
    <row r="56" ht="15.75" customHeight="1"/>
    <row r="57" ht="15.75" customHeight="1">
      <c r="A57" s="8" t="s">
        <v>160</v>
      </c>
    </row>
    <row r="58" ht="15.75" customHeight="1"/>
    <row r="59" ht="15.75" customHeight="1">
      <c r="A59" s="5" t="s">
        <v>161</v>
      </c>
    </row>
    <row r="60" ht="15.75" customHeight="1">
      <c r="A60" s="5" t="s">
        <v>162</v>
      </c>
    </row>
    <row r="61" ht="15.75" customHeight="1">
      <c r="A61" s="5" t="s">
        <v>163</v>
      </c>
    </row>
    <row r="62" ht="15.75" customHeight="1">
      <c r="A62" s="5" t="s">
        <v>154</v>
      </c>
    </row>
    <row r="63" ht="15.75" customHeight="1">
      <c r="A63" s="5" t="s">
        <v>164</v>
      </c>
    </row>
    <row r="64" ht="15.75" customHeight="1">
      <c r="A64" s="5" t="s">
        <v>156</v>
      </c>
    </row>
    <row r="65" ht="15.75" customHeight="1">
      <c r="A65" s="5" t="s">
        <v>165</v>
      </c>
    </row>
    <row r="66" ht="15.75" customHeight="1"/>
    <row r="67" ht="15.75" customHeight="1">
      <c r="A67" s="5" t="s">
        <v>166</v>
      </c>
    </row>
    <row r="68" ht="15.75" customHeight="1">
      <c r="A68" s="5" t="s">
        <v>167</v>
      </c>
    </row>
    <row r="69" ht="15.75" customHeight="1">
      <c r="A69" s="5" t="s">
        <v>163</v>
      </c>
    </row>
    <row r="70" ht="15.75" customHeight="1">
      <c r="A70" s="5" t="s">
        <v>148</v>
      </c>
    </row>
    <row r="71" ht="15.75" customHeight="1">
      <c r="A71" s="5" t="s">
        <v>149</v>
      </c>
    </row>
    <row r="72" ht="15.75" customHeight="1">
      <c r="A72" s="5" t="s">
        <v>150</v>
      </c>
    </row>
    <row r="73" ht="15.75" customHeight="1">
      <c r="A73" s="5" t="s">
        <v>168</v>
      </c>
    </row>
    <row r="74" ht="15.75" customHeight="1"/>
    <row r="75" ht="15.75" customHeight="1">
      <c r="A75" s="5" t="s">
        <v>169</v>
      </c>
    </row>
    <row r="76" ht="15.75" customHeight="1">
      <c r="A76" s="5" t="s">
        <v>170</v>
      </c>
    </row>
    <row r="77" ht="15.75" customHeight="1">
      <c r="A77" s="5" t="s">
        <v>163</v>
      </c>
    </row>
    <row r="78" ht="15.75" customHeight="1">
      <c r="A78" s="5" t="s">
        <v>171</v>
      </c>
    </row>
    <row r="79" ht="15.75" customHeight="1">
      <c r="A79" s="5" t="s">
        <v>172</v>
      </c>
    </row>
    <row r="80" ht="15.75" customHeight="1">
      <c r="A80" s="5" t="s">
        <v>156</v>
      </c>
    </row>
    <row r="81" ht="15.75" customHeight="1">
      <c r="A81" s="5" t="s">
        <v>173</v>
      </c>
    </row>
    <row r="82" ht="15.75" customHeight="1"/>
    <row r="83" ht="15.75" customHeight="1">
      <c r="A83" s="8" t="s">
        <v>174</v>
      </c>
    </row>
    <row r="84" ht="15.75" customHeight="1">
      <c r="A84" s="5" t="s">
        <v>175</v>
      </c>
    </row>
    <row r="85" ht="15.75" customHeight="1">
      <c r="A85" s="5" t="s">
        <v>176</v>
      </c>
    </row>
    <row r="86" ht="15.75" customHeight="1">
      <c r="A86" s="5" t="s">
        <v>177</v>
      </c>
    </row>
    <row r="87" ht="15.75" customHeight="1"/>
    <row r="88" ht="15.75" customHeight="1">
      <c r="A88" s="8" t="s">
        <v>178</v>
      </c>
    </row>
    <row r="89" ht="15.75" customHeight="1">
      <c r="A89" s="5" t="s">
        <v>179</v>
      </c>
    </row>
    <row r="90" ht="15.75" customHeight="1">
      <c r="A90" s="5" t="s">
        <v>180</v>
      </c>
    </row>
    <row r="91" ht="15.75" customHeight="1"/>
    <row r="92" ht="15.75" customHeight="1">
      <c r="A92" s="23" t="s">
        <v>127</v>
      </c>
    </row>
    <row r="93" ht="15.75" customHeight="1"/>
    <row r="94" ht="15.75" customHeight="1">
      <c r="A94" s="8" t="s">
        <v>181</v>
      </c>
    </row>
    <row r="95" ht="15.75" customHeight="1"/>
    <row r="96" ht="15.75" customHeight="1">
      <c r="A96" s="5" t="s">
        <v>182</v>
      </c>
    </row>
    <row r="97" ht="15.75" customHeight="1">
      <c r="A97" s="5" t="s">
        <v>162</v>
      </c>
    </row>
    <row r="98" ht="15.75" customHeight="1">
      <c r="A98" s="5" t="s">
        <v>183</v>
      </c>
    </row>
    <row r="99" ht="15.75" customHeight="1">
      <c r="A99" s="5" t="s">
        <v>154</v>
      </c>
    </row>
    <row r="100" ht="15.75" customHeight="1">
      <c r="A100" s="5" t="s">
        <v>164</v>
      </c>
    </row>
    <row r="101" ht="15.75" customHeight="1">
      <c r="A101" s="5" t="s">
        <v>156</v>
      </c>
    </row>
    <row r="102" ht="15.75" customHeight="1"/>
    <row r="103" ht="15.75" customHeight="1">
      <c r="A103" s="5" t="s">
        <v>184</v>
      </c>
    </row>
    <row r="104" ht="15.75" customHeight="1">
      <c r="A104" s="5" t="s">
        <v>167</v>
      </c>
    </row>
    <row r="105" ht="15.75" customHeight="1">
      <c r="A105" s="5" t="s">
        <v>183</v>
      </c>
    </row>
    <row r="106" ht="15.75" customHeight="1">
      <c r="A106" s="5" t="s">
        <v>148</v>
      </c>
    </row>
    <row r="107" ht="15.75" customHeight="1">
      <c r="A107" s="5" t="s">
        <v>149</v>
      </c>
    </row>
    <row r="108" ht="15.75" customHeight="1">
      <c r="A108" s="5" t="s">
        <v>185</v>
      </c>
    </row>
    <row r="109" ht="15.75" customHeight="1">
      <c r="A109" s="5" t="s">
        <v>186</v>
      </c>
    </row>
    <row r="110" ht="15.75" customHeight="1"/>
    <row r="111" ht="15.75" customHeight="1">
      <c r="A111" s="5" t="s">
        <v>187</v>
      </c>
    </row>
    <row r="112" ht="15.75" customHeight="1">
      <c r="A112" s="5" t="s">
        <v>188</v>
      </c>
    </row>
    <row r="113" ht="15.75" customHeight="1"/>
    <row r="114" ht="15.75" customHeight="1">
      <c r="A114" s="8" t="s">
        <v>189</v>
      </c>
    </row>
    <row r="115" ht="15.75" customHeight="1">
      <c r="A115" s="5" t="s">
        <v>190</v>
      </c>
    </row>
    <row r="116" ht="15.75" customHeight="1">
      <c r="A116" s="5" t="s">
        <v>191</v>
      </c>
    </row>
    <row r="117" ht="15.75" customHeight="1">
      <c r="A117" s="5" t="s">
        <v>192</v>
      </c>
    </row>
    <row r="118" ht="15.75" customHeight="1"/>
    <row r="119" ht="15.75" customHeight="1">
      <c r="A119" s="23" t="s">
        <v>127</v>
      </c>
    </row>
    <row r="120" ht="15.75" customHeight="1">
      <c r="A120" s="8" t="s">
        <v>193</v>
      </c>
    </row>
    <row r="121" ht="15.75" customHeight="1">
      <c r="A121" s="23" t="s">
        <v>127</v>
      </c>
    </row>
    <row r="122" ht="15.75" customHeight="1"/>
    <row r="123" ht="15.75" customHeight="1">
      <c r="A123" s="5" t="s">
        <v>194</v>
      </c>
    </row>
    <row r="124" ht="15.75" customHeight="1">
      <c r="A124" s="5" t="s">
        <v>195</v>
      </c>
    </row>
    <row r="125" ht="15.75" customHeight="1">
      <c r="A125" s="5" t="s">
        <v>196</v>
      </c>
    </row>
    <row r="126" ht="15.75" customHeight="1"/>
    <row r="127" ht="15.75" customHeight="1">
      <c r="A127" s="5" t="s">
        <v>197</v>
      </c>
    </row>
    <row r="128" ht="15.75" customHeight="1">
      <c r="A128" s="5" t="s">
        <v>198</v>
      </c>
    </row>
    <row r="129" ht="15.75" customHeight="1">
      <c r="A129" s="5" t="s">
        <v>199</v>
      </c>
    </row>
    <row r="130" ht="15.75" customHeight="1"/>
    <row r="131" ht="15.75" customHeight="1">
      <c r="A131" s="5" t="s">
        <v>200</v>
      </c>
    </row>
    <row r="132" ht="15.75" customHeight="1">
      <c r="A132" s="5" t="s">
        <v>201</v>
      </c>
    </row>
    <row r="133" ht="15.75" customHeight="1">
      <c r="A133" s="5" t="s">
        <v>202</v>
      </c>
    </row>
    <row r="134" ht="15.75" customHeight="1">
      <c r="A134" s="5" t="s">
        <v>203</v>
      </c>
    </row>
    <row r="135" ht="15.75" customHeight="1"/>
    <row r="136" ht="15.75" customHeight="1">
      <c r="A136" s="23" t="s">
        <v>127</v>
      </c>
    </row>
    <row r="137" ht="15.75" customHeight="1">
      <c r="A137" s="8" t="s">
        <v>204</v>
      </c>
    </row>
    <row r="138" ht="15.75" customHeight="1">
      <c r="A138" s="23" t="s">
        <v>127</v>
      </c>
    </row>
    <row r="139" ht="15.75" customHeight="1"/>
    <row r="140" ht="15.75" customHeight="1">
      <c r="A140" s="5" t="s">
        <v>205</v>
      </c>
    </row>
    <row r="141" ht="15.75" customHeight="1">
      <c r="A141" s="5" t="s">
        <v>155</v>
      </c>
    </row>
    <row r="142" ht="15.75" customHeight="1">
      <c r="A142" s="5" t="s">
        <v>206</v>
      </c>
    </row>
    <row r="143" ht="15.75" customHeight="1">
      <c r="A143" s="5" t="s">
        <v>207</v>
      </c>
    </row>
    <row r="144" ht="15.75" customHeight="1"/>
    <row r="145" ht="15.75" customHeight="1">
      <c r="A145" s="5" t="s">
        <v>208</v>
      </c>
    </row>
    <row r="146" ht="15.75" customHeight="1">
      <c r="A146" s="5" t="s">
        <v>155</v>
      </c>
    </row>
    <row r="147" ht="15.75" customHeight="1">
      <c r="A147" s="5" t="s">
        <v>209</v>
      </c>
    </row>
    <row r="148" ht="15.75" customHeight="1">
      <c r="A148" s="5" t="s">
        <v>210</v>
      </c>
    </row>
    <row r="149" ht="15.75" customHeight="1"/>
    <row r="150" ht="15.75" customHeight="1">
      <c r="A150" s="5" t="s">
        <v>211</v>
      </c>
    </row>
    <row r="151" ht="15.75" customHeight="1">
      <c r="A151" s="5" t="s">
        <v>212</v>
      </c>
    </row>
    <row r="152" ht="15.75" customHeight="1">
      <c r="A152" s="5" t="s">
        <v>213</v>
      </c>
    </row>
    <row r="153" ht="15.75" customHeight="1"/>
    <row r="154" ht="15.75" customHeight="1">
      <c r="A154" s="5" t="s">
        <v>214</v>
      </c>
    </row>
    <row r="155" ht="15.75" customHeight="1">
      <c r="A155" s="5" t="s">
        <v>212</v>
      </c>
    </row>
    <row r="156" ht="15.75" customHeight="1">
      <c r="A156" s="5" t="s">
        <v>215</v>
      </c>
    </row>
    <row r="157" ht="15.75" customHeight="1"/>
    <row r="158" ht="15.75" customHeight="1">
      <c r="A158" s="23" t="s">
        <v>127</v>
      </c>
    </row>
    <row r="159" ht="15.75" customHeight="1">
      <c r="A159" s="8" t="s">
        <v>216</v>
      </c>
    </row>
    <row r="160" ht="15.75" customHeight="1">
      <c r="A160" s="23" t="s">
        <v>127</v>
      </c>
    </row>
    <row r="161" ht="15.75" customHeight="1"/>
    <row r="162" ht="15.75" customHeight="1">
      <c r="A162" s="5" t="s">
        <v>217</v>
      </c>
    </row>
    <row r="163" ht="15.75" customHeight="1">
      <c r="A163" s="5" t="s">
        <v>218</v>
      </c>
    </row>
    <row r="164" ht="15.75" customHeight="1">
      <c r="A164" s="5" t="s">
        <v>219</v>
      </c>
    </row>
    <row r="165" ht="15.75" customHeight="1">
      <c r="A165" s="5" t="s">
        <v>220</v>
      </c>
    </row>
    <row r="166" ht="15.75" customHeight="1">
      <c r="A166" s="5" t="s">
        <v>221</v>
      </c>
    </row>
    <row r="167" ht="15.75" customHeight="1">
      <c r="A167" s="5" t="s">
        <v>222</v>
      </c>
    </row>
    <row r="168" ht="15.75" customHeight="1">
      <c r="A168" s="5" t="s">
        <v>223</v>
      </c>
    </row>
    <row r="169" ht="15.75" customHeight="1"/>
    <row r="170" ht="15.75" customHeight="1">
      <c r="A170" s="23" t="s">
        <v>127</v>
      </c>
    </row>
    <row r="171" ht="15.75" customHeight="1">
      <c r="A171" s="8" t="s">
        <v>224</v>
      </c>
    </row>
    <row r="172" ht="15.75" customHeight="1">
      <c r="A172" s="23" t="s">
        <v>127</v>
      </c>
    </row>
    <row r="173" ht="15.75" customHeight="1"/>
    <row r="174" ht="15.75" customHeight="1">
      <c r="A174" s="5" t="s">
        <v>225</v>
      </c>
    </row>
    <row r="175" ht="15.75" customHeight="1">
      <c r="A175" s="5" t="s">
        <v>226</v>
      </c>
    </row>
    <row r="176" ht="15.75" customHeight="1">
      <c r="A176" s="5" t="s">
        <v>227</v>
      </c>
    </row>
    <row r="177" ht="15.75" customHeight="1">
      <c r="A177" s="5" t="s">
        <v>228</v>
      </c>
    </row>
    <row r="178" ht="15.75" customHeight="1">
      <c r="A178" s="5" t="s">
        <v>229</v>
      </c>
    </row>
    <row r="179" ht="15.75" customHeight="1"/>
    <row r="180" ht="15.75" customHeight="1">
      <c r="A180" s="5" t="s">
        <v>230</v>
      </c>
    </row>
    <row r="181" ht="15.75" customHeight="1"/>
    <row r="182" ht="15.75" customHeight="1">
      <c r="A182" s="5" t="s">
        <v>231</v>
      </c>
    </row>
    <row r="183" ht="15.75" customHeight="1">
      <c r="A183" s="5" t="s">
        <v>232</v>
      </c>
    </row>
    <row r="184" ht="15.75" customHeight="1">
      <c r="A184" s="5" t="s">
        <v>233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2026-01-04T04:44:20Z</dcterms:created>
  <dc:creator>openpyxl</dc:creator>
</cp:coreProperties>
</file>